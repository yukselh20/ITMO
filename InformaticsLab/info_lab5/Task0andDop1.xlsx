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hamza\Desktop\LABLAR\InformaticsLab\info_lab5\"/>
    </mc:Choice>
  </mc:AlternateContent>
  <xr:revisionPtr revIDLastSave="0" documentId="13_ncr:1_{AA5C9D55-5D6A-494D-AA42-A62CEAFF83E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9" i="1" l="1"/>
  <c r="W22" i="1"/>
  <c r="H4" i="1"/>
  <c r="C2" i="1"/>
  <c r="C1" i="1"/>
  <c r="Y66" i="1" l="1"/>
  <c r="Y48" i="1"/>
  <c r="Y30" i="1"/>
  <c r="U18" i="1"/>
  <c r="U20" i="1" s="1"/>
  <c r="K5" i="1"/>
  <c r="K19" i="1" s="1"/>
  <c r="P5" i="1"/>
  <c r="P19" i="1" s="1"/>
  <c r="U5" i="1"/>
  <c r="U27" i="1" s="1"/>
  <c r="U29" i="1" s="1"/>
  <c r="U30" i="1" s="1"/>
  <c r="K6" i="1"/>
  <c r="K73" i="1" s="1"/>
  <c r="P6" i="1"/>
  <c r="P73" i="1" s="1"/>
  <c r="U6" i="1"/>
  <c r="U28" i="1" s="1"/>
  <c r="K7" i="1"/>
  <c r="P7" i="1"/>
  <c r="U7" i="1"/>
  <c r="K8" i="1"/>
  <c r="P8" i="1"/>
  <c r="U8" i="1"/>
  <c r="K9" i="1"/>
  <c r="P9" i="1"/>
  <c r="U9" i="1"/>
  <c r="K10" i="1"/>
  <c r="K37" i="1" s="1"/>
  <c r="P10" i="1"/>
  <c r="P37" i="1" s="1"/>
  <c r="U10" i="1"/>
  <c r="U37" i="1" s="1"/>
  <c r="K11" i="1"/>
  <c r="P11" i="1"/>
  <c r="P64" i="1" s="1"/>
  <c r="U11" i="1"/>
  <c r="U46" i="1" s="1"/>
  <c r="K12" i="1"/>
  <c r="K55" i="1" s="1"/>
  <c r="P12" i="1"/>
  <c r="P55" i="1" s="1"/>
  <c r="U12" i="1"/>
  <c r="U55" i="1" s="1"/>
  <c r="K13" i="1"/>
  <c r="P13" i="1"/>
  <c r="U13" i="1"/>
  <c r="K14" i="1"/>
  <c r="K72" i="1" s="1"/>
  <c r="P14" i="1"/>
  <c r="P72" i="1" s="1"/>
  <c r="U14" i="1"/>
  <c r="U72" i="1" s="1"/>
  <c r="K15" i="1"/>
  <c r="P15" i="1"/>
  <c r="U15" i="1"/>
  <c r="K4" i="1"/>
  <c r="P4" i="1"/>
  <c r="U4" i="1"/>
  <c r="U63" i="1" s="1"/>
  <c r="P27" i="1" l="1"/>
  <c r="P29" i="1" s="1"/>
  <c r="P30" i="1" s="1"/>
  <c r="K27" i="1"/>
  <c r="K29" i="1" s="1"/>
  <c r="K30" i="1" s="1"/>
  <c r="P36" i="1"/>
  <c r="P38" i="1" s="1"/>
  <c r="K36" i="1"/>
  <c r="K38" i="1" s="1"/>
  <c r="P46" i="1"/>
  <c r="U54" i="1"/>
  <c r="U56" i="1" s="1"/>
  <c r="P54" i="1"/>
  <c r="P56" i="1" s="1"/>
  <c r="U64" i="1"/>
  <c r="U45" i="1"/>
  <c r="U47" i="1" s="1"/>
  <c r="U48" i="1" s="1"/>
  <c r="K45" i="1"/>
  <c r="K47" i="1" s="1"/>
  <c r="K48" i="1" s="1"/>
  <c r="P45" i="1"/>
  <c r="P47" i="1" s="1"/>
  <c r="P48" i="1" s="1"/>
  <c r="P28" i="1"/>
  <c r="K28" i="1"/>
  <c r="U73" i="1"/>
  <c r="U36" i="1"/>
  <c r="U38" i="1" s="1"/>
  <c r="U19" i="1"/>
  <c r="K54" i="1"/>
  <c r="K56" i="1" s="1"/>
  <c r="K64" i="1"/>
  <c r="K46" i="1"/>
  <c r="P18" i="1"/>
  <c r="P20" i="1" s="1"/>
  <c r="P63" i="1"/>
  <c r="K18" i="1"/>
  <c r="K20" i="1" s="1"/>
  <c r="K63" i="1"/>
  <c r="K74" i="1"/>
  <c r="P74" i="1"/>
  <c r="U74" i="1"/>
  <c r="K65" i="1"/>
  <c r="K66" i="1" s="1"/>
  <c r="P65" i="1"/>
  <c r="P66" i="1" s="1"/>
  <c r="U65" i="1"/>
  <c r="U66" i="1" s="1"/>
  <c r="C8" i="1" l="1"/>
  <c r="C7" i="1"/>
  <c r="H7" i="1" l="1"/>
  <c r="S7" i="1"/>
  <c r="I7" i="1"/>
  <c r="J7" i="1"/>
  <c r="N7" i="1"/>
  <c r="O7" i="1"/>
  <c r="Q7" i="1"/>
  <c r="L7" i="1"/>
  <c r="M7" i="1"/>
  <c r="R7" i="1"/>
  <c r="V7" i="1"/>
  <c r="G7" i="1"/>
  <c r="T7" i="1"/>
  <c r="W7" i="1"/>
  <c r="X7" i="1"/>
  <c r="Y7" i="1"/>
  <c r="C13" i="1"/>
  <c r="C9" i="1"/>
  <c r="I8" i="1"/>
  <c r="R8" i="1"/>
  <c r="J8" i="1"/>
  <c r="N8" i="1"/>
  <c r="O8" i="1"/>
  <c r="S8" i="1"/>
  <c r="L8" i="1"/>
  <c r="T8" i="1"/>
  <c r="M8" i="1"/>
  <c r="Q8" i="1"/>
  <c r="W8" i="1"/>
  <c r="X8" i="1"/>
  <c r="Y8" i="1"/>
  <c r="V8" i="1"/>
  <c r="G8" i="1"/>
  <c r="H8" i="1"/>
  <c r="C14" i="1"/>
  <c r="C6" i="1"/>
  <c r="C4" i="1"/>
  <c r="Y4" i="1" s="1"/>
  <c r="C5" i="1"/>
  <c r="G6" i="1" l="1"/>
  <c r="AD28" i="1"/>
  <c r="H6" i="1"/>
  <c r="O6" i="1"/>
  <c r="I6" i="1"/>
  <c r="AD73" i="1"/>
  <c r="J6" i="1"/>
  <c r="M6" i="1"/>
  <c r="N6" i="1"/>
  <c r="Q6" i="1"/>
  <c r="L6" i="1"/>
  <c r="W6" i="1"/>
  <c r="R6" i="1"/>
  <c r="T6" i="1"/>
  <c r="V6" i="1"/>
  <c r="X6" i="1"/>
  <c r="Y6" i="1"/>
  <c r="S6" i="1"/>
  <c r="C12" i="1"/>
  <c r="N13" i="1"/>
  <c r="O13" i="1"/>
  <c r="V13" i="1"/>
  <c r="X13" i="1"/>
  <c r="Q13" i="1"/>
  <c r="R13" i="1"/>
  <c r="S13" i="1"/>
  <c r="T13" i="1"/>
  <c r="W13" i="1"/>
  <c r="G13" i="1"/>
  <c r="H13" i="1"/>
  <c r="L13" i="1"/>
  <c r="M13" i="1"/>
  <c r="I13" i="1"/>
  <c r="J13" i="1"/>
  <c r="Y13" i="1"/>
  <c r="O5" i="1"/>
  <c r="G5" i="1"/>
  <c r="AD27" i="1"/>
  <c r="H5" i="1"/>
  <c r="AD36" i="1"/>
  <c r="N5" i="1"/>
  <c r="AD19" i="1"/>
  <c r="Q5" i="1"/>
  <c r="I5" i="1"/>
  <c r="J5" i="1"/>
  <c r="L5" i="1"/>
  <c r="M5" i="1"/>
  <c r="R5" i="1"/>
  <c r="S5" i="1"/>
  <c r="T5" i="1"/>
  <c r="V5" i="1"/>
  <c r="W5" i="1"/>
  <c r="X5" i="1"/>
  <c r="Y5" i="1"/>
  <c r="C11" i="1"/>
  <c r="G4" i="1"/>
  <c r="S4" i="1"/>
  <c r="X4" i="1"/>
  <c r="T4" i="1"/>
  <c r="V4" i="1"/>
  <c r="W4" i="1"/>
  <c r="AD63" i="1"/>
  <c r="AD18" i="1"/>
  <c r="O4" i="1"/>
  <c r="Q4" i="1"/>
  <c r="R4" i="1"/>
  <c r="L4" i="1"/>
  <c r="I4" i="1"/>
  <c r="J4" i="1"/>
  <c r="M4" i="1"/>
  <c r="N4" i="1"/>
  <c r="C10" i="1"/>
  <c r="J9" i="1"/>
  <c r="Q9" i="1"/>
  <c r="T9" i="1"/>
  <c r="S9" i="1"/>
  <c r="L9" i="1"/>
  <c r="O9" i="1"/>
  <c r="R9" i="1"/>
  <c r="M9" i="1"/>
  <c r="N9" i="1"/>
  <c r="G9" i="1"/>
  <c r="H9" i="1"/>
  <c r="I9" i="1"/>
  <c r="V9" i="1"/>
  <c r="W9" i="1"/>
  <c r="X9" i="1"/>
  <c r="Y9" i="1"/>
  <c r="C15" i="1"/>
  <c r="O14" i="1"/>
  <c r="O72" i="1" s="1"/>
  <c r="T14" i="1"/>
  <c r="T72" i="1" s="1"/>
  <c r="V14" i="1"/>
  <c r="V72" i="1" s="1"/>
  <c r="Y14" i="1"/>
  <c r="Y72" i="1" s="1"/>
  <c r="Q14" i="1"/>
  <c r="Q72" i="1" s="1"/>
  <c r="R14" i="1"/>
  <c r="R72" i="1" s="1"/>
  <c r="X14" i="1"/>
  <c r="X72" i="1" s="1"/>
  <c r="AD72" i="1"/>
  <c r="S14" i="1"/>
  <c r="S72" i="1" s="1"/>
  <c r="W14" i="1"/>
  <c r="W72" i="1" s="1"/>
  <c r="M14" i="1"/>
  <c r="M72" i="1" s="1"/>
  <c r="H14" i="1"/>
  <c r="H72" i="1" s="1"/>
  <c r="N14" i="1"/>
  <c r="N72" i="1" s="1"/>
  <c r="J14" i="1"/>
  <c r="J72" i="1" s="1"/>
  <c r="L14" i="1"/>
  <c r="L72" i="1" s="1"/>
  <c r="I14" i="1"/>
  <c r="I72" i="1" s="1"/>
  <c r="G14" i="1"/>
  <c r="G72" i="1" s="1"/>
  <c r="AD20" i="1" l="1"/>
  <c r="AD74" i="1"/>
  <c r="AD29" i="1"/>
  <c r="M12" i="1"/>
  <c r="M55" i="1" s="1"/>
  <c r="N12" i="1"/>
  <c r="N55" i="1" s="1"/>
  <c r="V12" i="1"/>
  <c r="V55" i="1" s="1"/>
  <c r="W12" i="1"/>
  <c r="W55" i="1" s="1"/>
  <c r="O12" i="1"/>
  <c r="O55" i="1" s="1"/>
  <c r="Q12" i="1"/>
  <c r="Q55" i="1" s="1"/>
  <c r="AD55" i="1"/>
  <c r="R12" i="1"/>
  <c r="R55" i="1" s="1"/>
  <c r="S12" i="1"/>
  <c r="S55" i="1" s="1"/>
  <c r="T12" i="1"/>
  <c r="T55" i="1" s="1"/>
  <c r="X12" i="1"/>
  <c r="X55" i="1" s="1"/>
  <c r="I12" i="1"/>
  <c r="I55" i="1" s="1"/>
  <c r="L12" i="1"/>
  <c r="L55" i="1" s="1"/>
  <c r="Y12" i="1"/>
  <c r="Y55" i="1" s="1"/>
  <c r="H12" i="1"/>
  <c r="H55" i="1" s="1"/>
  <c r="J12" i="1"/>
  <c r="J55" i="1" s="1"/>
  <c r="G12" i="1"/>
  <c r="G55" i="1" s="1"/>
  <c r="G63" i="1"/>
  <c r="G18" i="1"/>
  <c r="V28" i="1"/>
  <c r="V73" i="1"/>
  <c r="AD37" i="1"/>
  <c r="S10" i="1"/>
  <c r="L10" i="1"/>
  <c r="R10" i="1"/>
  <c r="M10" i="1"/>
  <c r="T10" i="1"/>
  <c r="N10" i="1"/>
  <c r="O10" i="1"/>
  <c r="AD45" i="1"/>
  <c r="Q10" i="1"/>
  <c r="V10" i="1"/>
  <c r="X10" i="1"/>
  <c r="W10" i="1"/>
  <c r="Y10" i="1"/>
  <c r="I10" i="1"/>
  <c r="J10" i="1"/>
  <c r="G10" i="1"/>
  <c r="H10" i="1"/>
  <c r="Y36" i="1"/>
  <c r="Y27" i="1"/>
  <c r="Y19" i="1"/>
  <c r="T28" i="1"/>
  <c r="T73" i="1"/>
  <c r="N63" i="1"/>
  <c r="N18" i="1"/>
  <c r="X36" i="1"/>
  <c r="X27" i="1"/>
  <c r="X19" i="1"/>
  <c r="R73" i="1"/>
  <c r="R28" i="1"/>
  <c r="M63" i="1"/>
  <c r="M18" i="1"/>
  <c r="W36" i="1"/>
  <c r="W27" i="1"/>
  <c r="W19" i="1"/>
  <c r="W73" i="1"/>
  <c r="W28" i="1"/>
  <c r="X18" i="1"/>
  <c r="X63" i="1"/>
  <c r="Y73" i="1"/>
  <c r="X71" i="1" s="1"/>
  <c r="Y28" i="1"/>
  <c r="Y74" i="1"/>
  <c r="L11" i="1"/>
  <c r="Q11" i="1"/>
  <c r="M11" i="1"/>
  <c r="N11" i="1"/>
  <c r="S11" i="1"/>
  <c r="AD64" i="1"/>
  <c r="AD65" i="1" s="1"/>
  <c r="O11" i="1"/>
  <c r="T11" i="1"/>
  <c r="AD54" i="1"/>
  <c r="AD46" i="1"/>
  <c r="R11" i="1"/>
  <c r="V11" i="1"/>
  <c r="G11" i="1"/>
  <c r="J11" i="1"/>
  <c r="H11" i="1"/>
  <c r="I11" i="1"/>
  <c r="W11" i="1"/>
  <c r="X11" i="1"/>
  <c r="Y11" i="1"/>
  <c r="Y15" i="1"/>
  <c r="Q15" i="1"/>
  <c r="W15" i="1"/>
  <c r="R15" i="1"/>
  <c r="T15" i="1"/>
  <c r="X15" i="1"/>
  <c r="S15" i="1"/>
  <c r="V15" i="1"/>
  <c r="G15" i="1"/>
  <c r="I15" i="1"/>
  <c r="J15" i="1"/>
  <c r="L15" i="1"/>
  <c r="H15" i="1"/>
  <c r="M15" i="1"/>
  <c r="N15" i="1"/>
  <c r="O15" i="1"/>
  <c r="V36" i="1"/>
  <c r="V27" i="1"/>
  <c r="V19" i="1"/>
  <c r="M73" i="1"/>
  <c r="M28" i="1"/>
  <c r="Y63" i="1"/>
  <c r="Y18" i="1"/>
  <c r="H36" i="1"/>
  <c r="H27" i="1"/>
  <c r="H19" i="1"/>
  <c r="S18" i="1"/>
  <c r="S63" i="1"/>
  <c r="I73" i="1"/>
  <c r="I28" i="1"/>
  <c r="H63" i="1"/>
  <c r="H18" i="1"/>
  <c r="I36" i="1"/>
  <c r="I27" i="1"/>
  <c r="I19" i="1"/>
  <c r="Q19" i="1"/>
  <c r="Q36" i="1"/>
  <c r="Q27" i="1"/>
  <c r="H28" i="1"/>
  <c r="H73" i="1"/>
  <c r="AD38" i="1"/>
  <c r="T18" i="1"/>
  <c r="T63" i="1"/>
  <c r="S28" i="1"/>
  <c r="S73" i="1"/>
  <c r="G36" i="1"/>
  <c r="G27" i="1"/>
  <c r="G19" i="1"/>
  <c r="X73" i="1"/>
  <c r="X28" i="1"/>
  <c r="I63" i="1"/>
  <c r="I18" i="1"/>
  <c r="Q73" i="1"/>
  <c r="Q28" i="1"/>
  <c r="S19" i="1"/>
  <c r="S27" i="1"/>
  <c r="S36" i="1"/>
  <c r="R19" i="1"/>
  <c r="R36" i="1"/>
  <c r="R27" i="1"/>
  <c r="Q18" i="1"/>
  <c r="Q63" i="1"/>
  <c r="J28" i="1"/>
  <c r="J73" i="1"/>
  <c r="O63" i="1"/>
  <c r="O18" i="1"/>
  <c r="O73" i="1"/>
  <c r="O28" i="1"/>
  <c r="W63" i="1"/>
  <c r="W18" i="1"/>
  <c r="O19" i="1"/>
  <c r="O27" i="1"/>
  <c r="O36" i="1"/>
  <c r="J18" i="1"/>
  <c r="J63" i="1"/>
  <c r="L73" i="1"/>
  <c r="L28" i="1"/>
  <c r="T27" i="1"/>
  <c r="T19" i="1"/>
  <c r="T36" i="1"/>
  <c r="L18" i="1"/>
  <c r="L63" i="1"/>
  <c r="N73" i="1"/>
  <c r="N28" i="1"/>
  <c r="R18" i="1"/>
  <c r="R63" i="1"/>
  <c r="M36" i="1"/>
  <c r="M19" i="1"/>
  <c r="M27" i="1"/>
  <c r="L36" i="1"/>
  <c r="L19" i="1"/>
  <c r="L27" i="1"/>
  <c r="J19" i="1"/>
  <c r="J36" i="1"/>
  <c r="J27" i="1"/>
  <c r="V63" i="1"/>
  <c r="V18" i="1"/>
  <c r="N19" i="1"/>
  <c r="N36" i="1"/>
  <c r="N27" i="1"/>
  <c r="G73" i="1"/>
  <c r="G28" i="1"/>
  <c r="X74" i="1" l="1"/>
  <c r="W71" i="1"/>
  <c r="V71" i="1" s="1"/>
  <c r="U71" i="1" s="1"/>
  <c r="T71" i="1" s="1"/>
  <c r="J37" i="1"/>
  <c r="J45" i="1"/>
  <c r="O54" i="1"/>
  <c r="O46" i="1"/>
  <c r="O64" i="1"/>
  <c r="W37" i="1"/>
  <c r="W45" i="1"/>
  <c r="N54" i="1"/>
  <c r="N64" i="1"/>
  <c r="N46" i="1"/>
  <c r="Q37" i="1"/>
  <c r="Q45" i="1"/>
  <c r="AD47" i="1"/>
  <c r="AD56" i="1"/>
  <c r="R46" i="1"/>
  <c r="R54" i="1"/>
  <c r="R64" i="1"/>
  <c r="T64" i="1"/>
  <c r="T54" i="1"/>
  <c r="T46" i="1"/>
  <c r="X45" i="1"/>
  <c r="X37" i="1"/>
  <c r="V37" i="1"/>
  <c r="V45" i="1"/>
  <c r="T37" i="1"/>
  <c r="T45" i="1"/>
  <c r="I64" i="1"/>
  <c r="I46" i="1"/>
  <c r="I54" i="1"/>
  <c r="H64" i="1"/>
  <c r="H54" i="1"/>
  <c r="H46" i="1"/>
  <c r="S37" i="1"/>
  <c r="S45" i="1"/>
  <c r="L64" i="1"/>
  <c r="L46" i="1"/>
  <c r="L54" i="1"/>
  <c r="N45" i="1"/>
  <c r="N37" i="1"/>
  <c r="R45" i="1"/>
  <c r="R37" i="1"/>
  <c r="J64" i="1"/>
  <c r="J46" i="1"/>
  <c r="J54" i="1"/>
  <c r="I37" i="1"/>
  <c r="I45" i="1"/>
  <c r="Q46" i="1"/>
  <c r="Q54" i="1"/>
  <c r="Q64" i="1"/>
  <c r="O45" i="1"/>
  <c r="O37" i="1"/>
  <c r="W64" i="1"/>
  <c r="W46" i="1"/>
  <c r="W54" i="1"/>
  <c r="L45" i="1"/>
  <c r="L37" i="1"/>
  <c r="G64" i="1"/>
  <c r="G54" i="1"/>
  <c r="G46" i="1"/>
  <c r="X26" i="1"/>
  <c r="W26" i="1" s="1"/>
  <c r="V26" i="1" s="1"/>
  <c r="U26" i="1" s="1"/>
  <c r="Y29" i="1"/>
  <c r="H37" i="1"/>
  <c r="H45" i="1"/>
  <c r="G45" i="1"/>
  <c r="G37" i="1"/>
  <c r="Y45" i="1"/>
  <c r="Y37" i="1"/>
  <c r="X35" i="1" s="1"/>
  <c r="S46" i="1"/>
  <c r="S54" i="1"/>
  <c r="S64" i="1"/>
  <c r="M54" i="1"/>
  <c r="M64" i="1"/>
  <c r="M46" i="1"/>
  <c r="Y20" i="1"/>
  <c r="X17" i="1"/>
  <c r="W17" i="1" s="1"/>
  <c r="Y54" i="1"/>
  <c r="Y46" i="1"/>
  <c r="Y64" i="1"/>
  <c r="X62" i="1" s="1"/>
  <c r="X65" i="1" s="1"/>
  <c r="X66" i="1" s="1"/>
  <c r="X64" i="1"/>
  <c r="X46" i="1"/>
  <c r="X54" i="1"/>
  <c r="M45" i="1"/>
  <c r="M37" i="1"/>
  <c r="V46" i="1"/>
  <c r="V54" i="1"/>
  <c r="V64" i="1"/>
  <c r="Y65" i="1" l="1"/>
  <c r="N76" i="1"/>
  <c r="V17" i="1"/>
  <c r="W20" i="1"/>
  <c r="X29" i="1"/>
  <c r="X30" i="1" s="1"/>
  <c r="V74" i="1"/>
  <c r="X20" i="1"/>
  <c r="W74" i="1"/>
  <c r="W62" i="1"/>
  <c r="V62" i="1" s="1"/>
  <c r="W35" i="1"/>
  <c r="W38" i="1" s="1"/>
  <c r="X38" i="1"/>
  <c r="Y47" i="1"/>
  <c r="X44" i="1"/>
  <c r="W44" i="1" s="1"/>
  <c r="X53" i="1"/>
  <c r="W53" i="1" s="1"/>
  <c r="W56" i="1" s="1"/>
  <c r="Y56" i="1"/>
  <c r="T26" i="1"/>
  <c r="N31" i="1"/>
  <c r="X56" i="1"/>
  <c r="Y38" i="1"/>
  <c r="W29" i="1"/>
  <c r="W30" i="1" s="1"/>
  <c r="V29" i="1"/>
  <c r="V30" i="1" s="1"/>
  <c r="S71" i="1"/>
  <c r="T74" i="1"/>
  <c r="V53" i="1" l="1"/>
  <c r="U53" i="1" s="1"/>
  <c r="W65" i="1"/>
  <c r="W66" i="1" s="1"/>
  <c r="V35" i="1"/>
  <c r="V38" i="1" s="1"/>
  <c r="V44" i="1"/>
  <c r="U44" i="1" s="1"/>
  <c r="T44" i="1" s="1"/>
  <c r="W47" i="1"/>
  <c r="W48" i="1" s="1"/>
  <c r="U62" i="1"/>
  <c r="N67" i="1" s="1"/>
  <c r="V65" i="1"/>
  <c r="V66" i="1" s="1"/>
  <c r="X47" i="1"/>
  <c r="X48" i="1" s="1"/>
  <c r="U17" i="1"/>
  <c r="V20" i="1"/>
  <c r="T53" i="1"/>
  <c r="N58" i="1"/>
  <c r="S26" i="1"/>
  <c r="T29" i="1"/>
  <c r="T30" i="1" s="1"/>
  <c r="S74" i="1"/>
  <c r="R71" i="1"/>
  <c r="V56" i="1"/>
  <c r="V47" i="1" l="1"/>
  <c r="V48" i="1" s="1"/>
  <c r="U35" i="1"/>
  <c r="T35" i="1" s="1"/>
  <c r="N49" i="1"/>
  <c r="N22" i="1"/>
  <c r="T17" i="1"/>
  <c r="T62" i="1"/>
  <c r="T65" i="1" s="1"/>
  <c r="T66" i="1" s="1"/>
  <c r="S62" i="1"/>
  <c r="R74" i="1"/>
  <c r="Q71" i="1"/>
  <c r="R26" i="1"/>
  <c r="S29" i="1"/>
  <c r="S30" i="1" s="1"/>
  <c r="S53" i="1"/>
  <c r="T56" i="1"/>
  <c r="T47" i="1"/>
  <c r="T48" i="1" s="1"/>
  <c r="S44" i="1"/>
  <c r="N40" i="1" l="1"/>
  <c r="T20" i="1"/>
  <c r="S17" i="1"/>
  <c r="S56" i="1"/>
  <c r="R53" i="1"/>
  <c r="R62" i="1"/>
  <c r="S65" i="1"/>
  <c r="S66" i="1" s="1"/>
  <c r="S47" i="1"/>
  <c r="S48" i="1" s="1"/>
  <c r="R44" i="1"/>
  <c r="S35" i="1"/>
  <c r="T38" i="1"/>
  <c r="Q26" i="1"/>
  <c r="R29" i="1"/>
  <c r="R30" i="1" s="1"/>
  <c r="P71" i="1"/>
  <c r="O71" i="1" s="1"/>
  <c r="Q74" i="1"/>
  <c r="R17" i="1" l="1"/>
  <c r="S20" i="1"/>
  <c r="N71" i="1"/>
  <c r="O74" i="1"/>
  <c r="Q44" i="1"/>
  <c r="R47" i="1"/>
  <c r="R48" i="1" s="1"/>
  <c r="P26" i="1"/>
  <c r="O26" i="1" s="1"/>
  <c r="Q29" i="1"/>
  <c r="Q30" i="1" s="1"/>
  <c r="R35" i="1"/>
  <c r="S38" i="1"/>
  <c r="Q62" i="1"/>
  <c r="R65" i="1"/>
  <c r="R66" i="1" s="1"/>
  <c r="Q53" i="1"/>
  <c r="R56" i="1"/>
  <c r="R20" i="1" l="1"/>
  <c r="Q17" i="1"/>
  <c r="Q65" i="1"/>
  <c r="Q66" i="1" s="1"/>
  <c r="P62" i="1"/>
  <c r="O62" i="1" s="1"/>
  <c r="P53" i="1"/>
  <c r="O53" i="1" s="1"/>
  <c r="Q56" i="1"/>
  <c r="Q35" i="1"/>
  <c r="R38" i="1"/>
  <c r="N26" i="1"/>
  <c r="O29" i="1"/>
  <c r="O30" i="1" s="1"/>
  <c r="P44" i="1"/>
  <c r="O44" i="1" s="1"/>
  <c r="Q47" i="1"/>
  <c r="Q48" i="1" s="1"/>
  <c r="M71" i="1"/>
  <c r="N74" i="1"/>
  <c r="P17" i="1" l="1"/>
  <c r="O17" i="1" s="1"/>
  <c r="Q20" i="1"/>
  <c r="O47" i="1"/>
  <c r="O48" i="1" s="1"/>
  <c r="N44" i="1"/>
  <c r="M26" i="1"/>
  <c r="N29" i="1"/>
  <c r="N30" i="1" s="1"/>
  <c r="P35" i="1"/>
  <c r="O35" i="1" s="1"/>
  <c r="Q38" i="1"/>
  <c r="O65" i="1"/>
  <c r="O66" i="1" s="1"/>
  <c r="N62" i="1"/>
  <c r="L71" i="1"/>
  <c r="M74" i="1"/>
  <c r="N53" i="1"/>
  <c r="O56" i="1"/>
  <c r="N17" i="1" l="1"/>
  <c r="O20" i="1"/>
  <c r="K71" i="1"/>
  <c r="J71" i="1" s="1"/>
  <c r="L74" i="1"/>
  <c r="N47" i="1"/>
  <c r="N48" i="1" s="1"/>
  <c r="M44" i="1"/>
  <c r="N56" i="1"/>
  <c r="M53" i="1"/>
  <c r="M62" i="1"/>
  <c r="N65" i="1"/>
  <c r="N66" i="1" s="1"/>
  <c r="N35" i="1"/>
  <c r="O38" i="1"/>
  <c r="L26" i="1"/>
  <c r="M29" i="1"/>
  <c r="M30" i="1" s="1"/>
  <c r="N20" i="1" l="1"/>
  <c r="M17" i="1"/>
  <c r="K26" i="1"/>
  <c r="J26" i="1" s="1"/>
  <c r="L29" i="1"/>
  <c r="L30" i="1" s="1"/>
  <c r="M56" i="1"/>
  <c r="L53" i="1"/>
  <c r="M47" i="1"/>
  <c r="M48" i="1" s="1"/>
  <c r="L44" i="1"/>
  <c r="M35" i="1"/>
  <c r="N38" i="1"/>
  <c r="M65" i="1"/>
  <c r="M66" i="1" s="1"/>
  <c r="L62" i="1"/>
  <c r="J74" i="1"/>
  <c r="I71" i="1"/>
  <c r="L17" i="1" l="1"/>
  <c r="M20" i="1"/>
  <c r="K62" i="1"/>
  <c r="J62" i="1" s="1"/>
  <c r="L65" i="1"/>
  <c r="L66" i="1" s="1"/>
  <c r="L35" i="1"/>
  <c r="M38" i="1"/>
  <c r="L47" i="1"/>
  <c r="L48" i="1" s="1"/>
  <c r="K44" i="1"/>
  <c r="J44" i="1" s="1"/>
  <c r="K53" i="1"/>
  <c r="J53" i="1" s="1"/>
  <c r="L56" i="1"/>
  <c r="I26" i="1"/>
  <c r="J29" i="1"/>
  <c r="J30" i="1" s="1"/>
  <c r="I74" i="1"/>
  <c r="H71" i="1"/>
  <c r="L20" i="1" l="1"/>
  <c r="K17" i="1"/>
  <c r="J17" i="1" s="1"/>
  <c r="I44" i="1"/>
  <c r="J47" i="1"/>
  <c r="J48" i="1" s="1"/>
  <c r="H74" i="1"/>
  <c r="G71" i="1"/>
  <c r="H26" i="1"/>
  <c r="I29" i="1"/>
  <c r="I30" i="1" s="1"/>
  <c r="I53" i="1"/>
  <c r="J56" i="1"/>
  <c r="K35" i="1"/>
  <c r="J35" i="1" s="1"/>
  <c r="L38" i="1"/>
  <c r="J65" i="1"/>
  <c r="J66" i="1" s="1"/>
  <c r="I62" i="1"/>
  <c r="I17" i="1" l="1"/>
  <c r="J20" i="1"/>
  <c r="H62" i="1"/>
  <c r="I65" i="1"/>
  <c r="I66" i="1" s="1"/>
  <c r="I35" i="1"/>
  <c r="J38" i="1"/>
  <c r="H53" i="1"/>
  <c r="I56" i="1"/>
  <c r="G26" i="1"/>
  <c r="H29" i="1"/>
  <c r="H30" i="1" s="1"/>
  <c r="G74" i="1"/>
  <c r="W76" i="1" s="1"/>
  <c r="H76" i="1"/>
  <c r="I47" i="1"/>
  <c r="I48" i="1" s="1"/>
  <c r="H44" i="1"/>
  <c r="H17" i="1" l="1"/>
  <c r="I20" i="1"/>
  <c r="H35" i="1"/>
  <c r="I38" i="1"/>
  <c r="G44" i="1"/>
  <c r="H47" i="1"/>
  <c r="H48" i="1" s="1"/>
  <c r="T76" i="1"/>
  <c r="K76" i="1"/>
  <c r="AA74" i="1"/>
  <c r="Q76" i="1" s="1"/>
  <c r="H31" i="1"/>
  <c r="G29" i="1"/>
  <c r="W31" i="1" s="1"/>
  <c r="AF28" i="1" s="1"/>
  <c r="G53" i="1"/>
  <c r="H56" i="1"/>
  <c r="H65" i="1"/>
  <c r="G62" i="1"/>
  <c r="G17" i="1" l="1"/>
  <c r="H22" i="1" s="1"/>
  <c r="H20" i="1"/>
  <c r="AF73" i="1"/>
  <c r="G65" i="1"/>
  <c r="W67" i="1" s="1"/>
  <c r="H67" i="1"/>
  <c r="H66" i="1"/>
  <c r="G56" i="1"/>
  <c r="W58" i="1" s="1"/>
  <c r="AF55" i="1" s="1"/>
  <c r="H58" i="1"/>
  <c r="K31" i="1"/>
  <c r="T31" i="1"/>
  <c r="AA29" i="1"/>
  <c r="Q31" i="1" s="1"/>
  <c r="G30" i="1"/>
  <c r="G47" i="1"/>
  <c r="W49" i="1" s="1"/>
  <c r="H49" i="1"/>
  <c r="G35" i="1"/>
  <c r="H38" i="1"/>
  <c r="AA65" i="1" l="1"/>
  <c r="Q67" i="1" s="1"/>
  <c r="G20" i="1"/>
  <c r="T58" i="1"/>
  <c r="K58" i="1"/>
  <c r="AA56" i="1"/>
  <c r="Q58" i="1" s="1"/>
  <c r="T67" i="1"/>
  <c r="K67" i="1"/>
  <c r="G66" i="1"/>
  <c r="H40" i="1"/>
  <c r="G38" i="1"/>
  <c r="W40" i="1" s="1"/>
  <c r="K49" i="1"/>
  <c r="T49" i="1"/>
  <c r="AA47" i="1"/>
  <c r="Q49" i="1" s="1"/>
  <c r="G48" i="1"/>
  <c r="T22" i="1" l="1"/>
  <c r="AA20" i="1"/>
  <c r="Q22" i="1" s="1"/>
  <c r="K22" i="1"/>
  <c r="AF46" i="1"/>
  <c r="AF64" i="1"/>
  <c r="T40" i="1"/>
  <c r="K40" i="1"/>
  <c r="AA38" i="1"/>
  <c r="Q40" i="1" s="1"/>
  <c r="AF37" i="1" l="1"/>
</calcChain>
</file>

<file path=xl/sharedStrings.xml><?xml version="1.0" encoding="utf-8"?>
<sst xmlns="http://schemas.openxmlformats.org/spreadsheetml/2006/main" count="153" uniqueCount="80">
  <si>
    <t>X1 =</t>
  </si>
  <si>
    <t>A=</t>
  </si>
  <si>
    <t xml:space="preserve"> </t>
  </si>
  <si>
    <t xml:space="preserve">C= </t>
  </si>
  <si>
    <t>A =</t>
  </si>
  <si>
    <t>C =</t>
  </si>
  <si>
    <t>A + C =</t>
  </si>
  <si>
    <t>A + C + C =</t>
  </si>
  <si>
    <t>C - A =</t>
  </si>
  <si>
    <t>65536 - X4 =</t>
  </si>
  <si>
    <t>-X1 =</t>
  </si>
  <si>
    <t xml:space="preserve">-X2 = </t>
  </si>
  <si>
    <t xml:space="preserve">-X3 = </t>
  </si>
  <si>
    <t xml:space="preserve">-X4 = </t>
  </si>
  <si>
    <t>-X5 =</t>
  </si>
  <si>
    <t xml:space="preserve">-X6 = </t>
  </si>
  <si>
    <t>X2 =</t>
  </si>
  <si>
    <t>X3 =</t>
  </si>
  <si>
    <t>X4 =</t>
  </si>
  <si>
    <t>X5 =</t>
  </si>
  <si>
    <t>X6 =</t>
  </si>
  <si>
    <t>X7 =</t>
  </si>
  <si>
    <t xml:space="preserve">X8 = </t>
  </si>
  <si>
    <t xml:space="preserve">X9 = </t>
  </si>
  <si>
    <t xml:space="preserve">X10 = </t>
  </si>
  <si>
    <t>X11 =</t>
  </si>
  <si>
    <t>X12 =</t>
  </si>
  <si>
    <t>B2=</t>
  </si>
  <si>
    <t>B3=</t>
  </si>
  <si>
    <t>B12=</t>
  </si>
  <si>
    <t xml:space="preserve">B11= </t>
  </si>
  <si>
    <t>B10=</t>
  </si>
  <si>
    <t>B4=</t>
  </si>
  <si>
    <t>B5=</t>
  </si>
  <si>
    <t>B6=</t>
  </si>
  <si>
    <t>B7=</t>
  </si>
  <si>
    <t>B8=</t>
  </si>
  <si>
    <t>B9=</t>
  </si>
  <si>
    <t>B1=</t>
  </si>
  <si>
    <t>-B1 =</t>
  </si>
  <si>
    <t>-B2 =</t>
  </si>
  <si>
    <t>-B3 =</t>
  </si>
  <si>
    <t>-B4 =</t>
  </si>
  <si>
    <t>-B5 =</t>
  </si>
  <si>
    <t>-B6 =</t>
  </si>
  <si>
    <t>Parça al = PARÇAAL(metin; başlangıç_no; karakter_sayısı). Her bit ilerleyişinde mutlak değerden çıkan sayı 1 2 3 4… seklinde gider. Ve mutlak deeğer sonucu başlangıç no suna eşittir. 15 - 16 == 1. karatere denk gelir. Ve karakter sayısı == 1 olduğu için 1. karakterden itibaren 1 parçayı ekler. mutlak değer 11-16 == 4 ise 4. karakterden sonrsaında 1 karakterlik ekleme yapar. Eklemek için kullandığı veri metin olarak girilen değerdir.</t>
  </si>
  <si>
    <t>Negatif sayılar için, 2's complement (ikinin tümleyeni) yöntemi kullanılır. Bunun anlamı:Sayıya 2^16 (65536) eklenir.Bu işlem, negatif sayıyı 16 bitlik bir pozitif ikili sayı gibi gösterir.</t>
  </si>
  <si>
    <t>İçteki EĞER Fonksiyonu EĞER($C4&gt;0; TABAN($C4;2;16); TABAN($C4+2^16;2;16)) EĞER($C4 &gt; 0) Eğer $C4'teki sayı pozitifse: TABAN($C4; 2; 16) TABAN: Sayıyı ikili (2 tabanı) bir formata çevirir ve 16 bitlik bir çıktı üretir. Örneğin, 3943 için sonuç 0000111101100111 olacaktır.</t>
  </si>
  <si>
    <t>+</t>
  </si>
  <si>
    <t>bits</t>
  </si>
  <si>
    <t>B1(2)</t>
  </si>
  <si>
    <t>B2(2)</t>
  </si>
  <si>
    <t>=</t>
  </si>
  <si>
    <t>Two's Complement :</t>
  </si>
  <si>
    <t>X1(10)</t>
  </si>
  <si>
    <t>X2(10)</t>
  </si>
  <si>
    <t>SF=0</t>
  </si>
  <si>
    <t>ZF=0</t>
  </si>
  <si>
    <t>OF=0</t>
  </si>
  <si>
    <t>B3(2)</t>
  </si>
  <si>
    <t>Two's Complement:</t>
  </si>
  <si>
    <t>X3(10)</t>
  </si>
  <si>
    <t>CF=</t>
  </si>
  <si>
    <t>PF=</t>
  </si>
  <si>
    <t>AF=</t>
  </si>
  <si>
    <t>Result is correct.</t>
  </si>
  <si>
    <t>B7(2)</t>
  </si>
  <si>
    <t>X7(10)</t>
  </si>
  <si>
    <t>Result is correct, Carry flag is not taken into account</t>
  </si>
  <si>
    <t>B8(2)</t>
  </si>
  <si>
    <t>X8(10)</t>
  </si>
  <si>
    <t>B9(2)</t>
  </si>
  <si>
    <t>X9(10)</t>
  </si>
  <si>
    <t>B11(2)</t>
  </si>
  <si>
    <t>X11(10)</t>
  </si>
  <si>
    <t>Юксель Хамза Номер варианта: 78%40 = 38</t>
  </si>
  <si>
    <t>Sum up of 2 positive numbers, create positive number.</t>
  </si>
  <si>
    <t>Sum up of 2 negative numbers, create negative number.</t>
  </si>
  <si>
    <t>OF</t>
  </si>
  <si>
    <t xml:space="preserve">parçaal fonksitonundaki taban için değer - ise maksimum bit değeri ile eksi işaretli sayı toplanarak twos kompliment bulunur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</si>
</sst>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i/>
      <sz val="11"/>
      <name val="Calibri"/>
      <family val="2"/>
      <charset val="162"/>
      <scheme val="minor"/>
    </font>
    <font>
      <i/>
      <sz val="11"/>
      <color rgb="FFC00000"/>
      <name val="Calibri"/>
      <family val="2"/>
      <charset val="162"/>
      <scheme val="minor"/>
    </font>
    <font>
      <sz val="11"/>
      <color rgb="FFC00000"/>
      <name val="Calibri"/>
      <family val="2"/>
      <scheme val="minor"/>
    </font>
    <font>
      <sz val="16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0" fontId="0" fillId="0" borderId="1" xfId="0" applyBorder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quotePrefix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/>
    <xf numFmtId="0" fontId="0" fillId="2" borderId="0" xfId="0" applyFill="1" applyAlignment="1">
      <alignment horizontal="right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E6FB15A-0264-43D0-844E-14DE62B8C414}">
  <we:reference id="wa200005502" version="1.0.0.11" store="tr-TR" storeType="OMEX"/>
  <we:alternateReferences>
    <we:reference id="wa200005502" version="1.0.0.11" store="wa200005502" storeType="OMEX"/>
  </we:alternateReferences>
  <we:properties>
    <we:property name="docId" value="&quot;CH2vz0_1kBnsNYDRWkUyY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01"/>
  <sheetViews>
    <sheetView tabSelected="1" zoomScale="89" zoomScaleNormal="70" workbookViewId="0">
      <selection activeCell="X24" sqref="X24"/>
    </sheetView>
  </sheetViews>
  <sheetFormatPr defaultRowHeight="14.5" x14ac:dyDescent="0.35"/>
  <cols>
    <col min="2" max="2" width="11.7265625" customWidth="1"/>
    <col min="4" max="4" width="4.453125" customWidth="1"/>
    <col min="7" max="25" width="3.1796875" customWidth="1"/>
    <col min="31" max="31" width="8.7265625" customWidth="1"/>
  </cols>
  <sheetData>
    <row r="1" spans="1:33" ht="15.5" customHeight="1" x14ac:dyDescent="0.35">
      <c r="A1" t="s">
        <v>2</v>
      </c>
      <c r="B1" s="1" t="s">
        <v>1</v>
      </c>
      <c r="C1">
        <f xml:space="preserve"> 3000</f>
        <v>3000</v>
      </c>
      <c r="G1" s="12" t="s">
        <v>75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 spans="1:33" ht="15.5" customHeight="1" x14ac:dyDescent="0.35">
      <c r="B2" s="1" t="s">
        <v>3</v>
      </c>
      <c r="C2">
        <f>16000</f>
        <v>16000</v>
      </c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AG2" t="s">
        <v>65</v>
      </c>
    </row>
    <row r="3" spans="1:33" ht="15.5" customHeight="1" x14ac:dyDescent="0.35">
      <c r="B3" s="1"/>
      <c r="F3" s="1" t="s">
        <v>49</v>
      </c>
      <c r="G3" s="1">
        <v>15</v>
      </c>
      <c r="H3" s="1">
        <v>14</v>
      </c>
      <c r="I3" s="1">
        <v>13</v>
      </c>
      <c r="J3" s="1">
        <v>12</v>
      </c>
      <c r="K3" s="1"/>
      <c r="L3" s="1">
        <v>11</v>
      </c>
      <c r="M3" s="1">
        <v>10</v>
      </c>
      <c r="N3" s="1">
        <v>9</v>
      </c>
      <c r="O3" s="1">
        <v>8</v>
      </c>
      <c r="P3" s="1"/>
      <c r="Q3" s="1">
        <v>7</v>
      </c>
      <c r="R3" s="1">
        <v>6</v>
      </c>
      <c r="S3" s="1">
        <v>5</v>
      </c>
      <c r="T3" s="1">
        <v>4</v>
      </c>
      <c r="U3" s="1"/>
      <c r="V3" s="1">
        <v>3</v>
      </c>
      <c r="W3" s="1">
        <v>2</v>
      </c>
      <c r="X3" s="1">
        <v>1</v>
      </c>
      <c r="Y3" s="1">
        <v>0</v>
      </c>
      <c r="AG3" t="s">
        <v>76</v>
      </c>
    </row>
    <row r="4" spans="1:33" x14ac:dyDescent="0.35">
      <c r="A4" s="1" t="s">
        <v>0</v>
      </c>
      <c r="B4" s="1" t="s">
        <v>4</v>
      </c>
      <c r="C4">
        <f>C1</f>
        <v>3000</v>
      </c>
      <c r="E4" s="1" t="s">
        <v>38</v>
      </c>
      <c r="G4" s="11" t="str">
        <f>IF(G$3="",".",MID(IF($C4&gt;0,_xlfn.BASE($C4,2,16),_xlfn.BASE($C4+2^16,2,16)),ABS(G$3-16),1))</f>
        <v>0</v>
      </c>
      <c r="H4" s="11" t="str">
        <f>IF(H$3="",".",MID(IF($C4&gt;0,_xlfn.BASE($C4,2,16),_xlfn.BASE($C4+2^16,2,16)),ABS(H$3-16),1))</f>
        <v>0</v>
      </c>
      <c r="I4" s="11" t="str">
        <f t="shared" ref="H4:Y15" si="0">IF(I$3="",".",MID(IF($C4&gt;0,_xlfn.BASE($C4,2,16),_xlfn.BASE($C4+2^16,2,16)),ABS(I$3-16),1))</f>
        <v>0</v>
      </c>
      <c r="J4" s="11" t="str">
        <f t="shared" si="0"/>
        <v>0</v>
      </c>
      <c r="K4" s="1" t="str">
        <f t="shared" si="0"/>
        <v>.</v>
      </c>
      <c r="L4" s="1" t="str">
        <f>IF(L$3="",".",MID(IF($C4&gt;0,_xlfn.BASE($C4,2,16),_xlfn.BASE($C4+2^16,2,16)),ABS(L$3-16),1))</f>
        <v>1</v>
      </c>
      <c r="M4" s="1" t="str">
        <f t="shared" si="0"/>
        <v>0</v>
      </c>
      <c r="N4" s="1" t="str">
        <f t="shared" si="0"/>
        <v>1</v>
      </c>
      <c r="O4" s="1" t="str">
        <f t="shared" si="0"/>
        <v>1</v>
      </c>
      <c r="P4" s="1" t="str">
        <f t="shared" si="0"/>
        <v>.</v>
      </c>
      <c r="Q4" s="11" t="str">
        <f t="shared" si="0"/>
        <v>1</v>
      </c>
      <c r="R4" s="1" t="str">
        <f t="shared" si="0"/>
        <v>0</v>
      </c>
      <c r="S4" s="1" t="str">
        <f t="shared" si="0"/>
        <v>1</v>
      </c>
      <c r="T4" s="11" t="str">
        <f t="shared" si="0"/>
        <v>1</v>
      </c>
      <c r="U4" s="1" t="str">
        <f t="shared" si="0"/>
        <v>.</v>
      </c>
      <c r="V4" s="11" t="str">
        <f t="shared" si="0"/>
        <v>1</v>
      </c>
      <c r="W4" s="1" t="str">
        <f t="shared" si="0"/>
        <v>0</v>
      </c>
      <c r="X4" s="1" t="str">
        <f t="shared" si="0"/>
        <v>0</v>
      </c>
      <c r="Y4" s="1" t="str">
        <f>IF(Y$3="",".",MID(IF($C4&gt;0,_xlfn.BASE($C4,2,16),_xlfn.BASE($C4+2^16,2,16)),ABS(Y$3-16),1))</f>
        <v>0</v>
      </c>
      <c r="AG4" t="s">
        <v>68</v>
      </c>
    </row>
    <row r="5" spans="1:33" x14ac:dyDescent="0.35">
      <c r="A5" s="1" t="s">
        <v>16</v>
      </c>
      <c r="B5" s="1" t="s">
        <v>5</v>
      </c>
      <c r="C5">
        <f>C2</f>
        <v>16000</v>
      </c>
      <c r="E5" s="1" t="s">
        <v>27</v>
      </c>
      <c r="G5" s="11" t="str">
        <f t="shared" ref="G5:G15" si="1">IF(G$3="",".",MID(IF($C5&gt;0,_xlfn.BASE($C5,2,16),_xlfn.BASE($C5+2^16,2,16)),ABS(G$3-16),1))</f>
        <v>0</v>
      </c>
      <c r="H5" s="11" t="str">
        <f t="shared" si="0"/>
        <v>0</v>
      </c>
      <c r="I5" s="1" t="str">
        <f t="shared" si="0"/>
        <v>1</v>
      </c>
      <c r="J5" s="1" t="str">
        <f t="shared" si="0"/>
        <v>1</v>
      </c>
      <c r="K5" s="1" t="str">
        <f t="shared" si="0"/>
        <v>.</v>
      </c>
      <c r="L5" s="1" t="str">
        <f t="shared" si="0"/>
        <v>1</v>
      </c>
      <c r="M5" s="1" t="str">
        <f t="shared" si="0"/>
        <v>1</v>
      </c>
      <c r="N5" s="11" t="str">
        <f t="shared" si="0"/>
        <v>1</v>
      </c>
      <c r="O5" s="11" t="str">
        <f t="shared" si="0"/>
        <v>0</v>
      </c>
      <c r="P5" s="1" t="str">
        <f t="shared" si="0"/>
        <v>.</v>
      </c>
      <c r="Q5" s="11" t="str">
        <f t="shared" si="0"/>
        <v>1</v>
      </c>
      <c r="R5" s="11" t="str">
        <f t="shared" si="0"/>
        <v>0</v>
      </c>
      <c r="S5" s="1" t="str">
        <f t="shared" si="0"/>
        <v>0</v>
      </c>
      <c r="T5" s="1" t="str">
        <f t="shared" si="0"/>
        <v>0</v>
      </c>
      <c r="U5" s="1" t="str">
        <f t="shared" si="0"/>
        <v>.</v>
      </c>
      <c r="V5" s="11" t="str">
        <f t="shared" si="0"/>
        <v>0</v>
      </c>
      <c r="W5" s="11" t="str">
        <f t="shared" si="0"/>
        <v>0</v>
      </c>
      <c r="X5" s="1" t="str">
        <f t="shared" si="0"/>
        <v>0</v>
      </c>
      <c r="Y5" s="11" t="str">
        <f t="shared" si="0"/>
        <v>0</v>
      </c>
      <c r="AG5" t="s">
        <v>77</v>
      </c>
    </row>
    <row r="6" spans="1:33" x14ac:dyDescent="0.35">
      <c r="A6" s="1" t="s">
        <v>17</v>
      </c>
      <c r="B6" s="1" t="s">
        <v>6</v>
      </c>
      <c r="C6">
        <f>C1+C2</f>
        <v>19000</v>
      </c>
      <c r="E6" s="1" t="s">
        <v>28</v>
      </c>
      <c r="G6" s="11" t="str">
        <f t="shared" si="1"/>
        <v>0</v>
      </c>
      <c r="H6" s="1" t="str">
        <f t="shared" si="0"/>
        <v>1</v>
      </c>
      <c r="I6" s="11" t="str">
        <f t="shared" si="0"/>
        <v>0</v>
      </c>
      <c r="J6" s="11" t="str">
        <f t="shared" si="0"/>
        <v>0</v>
      </c>
      <c r="K6" s="1" t="str">
        <f t="shared" si="0"/>
        <v>.</v>
      </c>
      <c r="L6" s="1" t="str">
        <f t="shared" si="0"/>
        <v>1</v>
      </c>
      <c r="M6" s="11" t="str">
        <f t="shared" si="0"/>
        <v>0</v>
      </c>
      <c r="N6" s="1" t="str">
        <f t="shared" si="0"/>
        <v>1</v>
      </c>
      <c r="O6" s="1" t="str">
        <f t="shared" si="0"/>
        <v>0</v>
      </c>
      <c r="P6" s="1" t="str">
        <f t="shared" si="0"/>
        <v>.</v>
      </c>
      <c r="Q6" s="1" t="str">
        <f t="shared" si="0"/>
        <v>0</v>
      </c>
      <c r="R6" s="11" t="str">
        <f t="shared" si="0"/>
        <v>0</v>
      </c>
      <c r="S6" s="11" t="str">
        <f t="shared" si="0"/>
        <v>1</v>
      </c>
      <c r="T6" s="1" t="str">
        <f t="shared" si="0"/>
        <v>1</v>
      </c>
      <c r="U6" s="1" t="str">
        <f t="shared" si="0"/>
        <v>.</v>
      </c>
      <c r="V6" s="1" t="str">
        <f t="shared" si="0"/>
        <v>1</v>
      </c>
      <c r="W6" s="11" t="str">
        <f t="shared" si="0"/>
        <v>0</v>
      </c>
      <c r="X6" s="11" t="str">
        <f t="shared" si="0"/>
        <v>0</v>
      </c>
      <c r="Y6" s="1" t="str">
        <f t="shared" si="0"/>
        <v>0</v>
      </c>
    </row>
    <row r="7" spans="1:33" x14ac:dyDescent="0.35">
      <c r="A7" s="1" t="s">
        <v>18</v>
      </c>
      <c r="B7" s="1" t="s">
        <v>7</v>
      </c>
      <c r="C7">
        <f>C1+C2+C2</f>
        <v>35000</v>
      </c>
      <c r="E7" s="1" t="s">
        <v>32</v>
      </c>
      <c r="G7" s="1" t="str">
        <f t="shared" si="1"/>
        <v>1</v>
      </c>
      <c r="H7" s="11" t="str">
        <f t="shared" si="0"/>
        <v>0</v>
      </c>
      <c r="I7" s="11" t="str">
        <f t="shared" si="0"/>
        <v>0</v>
      </c>
      <c r="J7" s="11" t="str">
        <f t="shared" si="0"/>
        <v>0</v>
      </c>
      <c r="K7" s="1" t="str">
        <f t="shared" si="0"/>
        <v>.</v>
      </c>
      <c r="L7" s="11" t="str">
        <f t="shared" si="0"/>
        <v>1</v>
      </c>
      <c r="M7" s="1" t="str">
        <f t="shared" si="0"/>
        <v>0</v>
      </c>
      <c r="N7" s="1" t="str">
        <f t="shared" si="0"/>
        <v>0</v>
      </c>
      <c r="O7" s="1" t="str">
        <f t="shared" si="0"/>
        <v>0</v>
      </c>
      <c r="P7" s="1" t="str">
        <f t="shared" si="0"/>
        <v>.</v>
      </c>
      <c r="Q7" s="1" t="str">
        <f t="shared" si="0"/>
        <v>1</v>
      </c>
      <c r="R7" s="1" t="str">
        <f t="shared" si="0"/>
        <v>0</v>
      </c>
      <c r="S7" s="1" t="str">
        <f t="shared" si="0"/>
        <v>1</v>
      </c>
      <c r="T7" s="11" t="str">
        <f t="shared" si="0"/>
        <v>1</v>
      </c>
      <c r="U7" s="1" t="str">
        <f t="shared" si="0"/>
        <v>.</v>
      </c>
      <c r="V7" s="1" t="str">
        <f t="shared" si="0"/>
        <v>1</v>
      </c>
      <c r="W7" s="11" t="str">
        <f t="shared" si="0"/>
        <v>0</v>
      </c>
      <c r="X7" s="1" t="str">
        <f t="shared" si="0"/>
        <v>0</v>
      </c>
      <c r="Y7" s="1" t="str">
        <f t="shared" si="0"/>
        <v>0</v>
      </c>
    </row>
    <row r="8" spans="1:33" x14ac:dyDescent="0.35">
      <c r="A8" s="1" t="s">
        <v>19</v>
      </c>
      <c r="B8" s="1" t="s">
        <v>8</v>
      </c>
      <c r="C8">
        <f>C2-C1</f>
        <v>13000</v>
      </c>
      <c r="E8" s="1" t="s">
        <v>33</v>
      </c>
      <c r="G8" s="1" t="str">
        <f t="shared" si="1"/>
        <v>0</v>
      </c>
      <c r="H8" s="1" t="str">
        <f t="shared" si="0"/>
        <v>0</v>
      </c>
      <c r="I8" s="1" t="str">
        <f t="shared" si="0"/>
        <v>1</v>
      </c>
      <c r="J8" s="1" t="str">
        <f t="shared" si="0"/>
        <v>1</v>
      </c>
      <c r="K8" s="1" t="str">
        <f t="shared" si="0"/>
        <v>.</v>
      </c>
      <c r="L8" s="1" t="str">
        <f t="shared" si="0"/>
        <v>0</v>
      </c>
      <c r="M8" s="1" t="str">
        <f t="shared" si="0"/>
        <v>0</v>
      </c>
      <c r="N8" s="1" t="str">
        <f t="shared" si="0"/>
        <v>1</v>
      </c>
      <c r="O8" s="1" t="str">
        <f t="shared" si="0"/>
        <v>0</v>
      </c>
      <c r="P8" s="1" t="str">
        <f t="shared" si="0"/>
        <v>.</v>
      </c>
      <c r="Q8" s="1" t="str">
        <f t="shared" si="0"/>
        <v>1</v>
      </c>
      <c r="R8" s="1" t="str">
        <f t="shared" si="0"/>
        <v>1</v>
      </c>
      <c r="S8" s="1" t="str">
        <f t="shared" si="0"/>
        <v>0</v>
      </c>
      <c r="T8" s="1" t="str">
        <f t="shared" si="0"/>
        <v>0</v>
      </c>
      <c r="U8" s="1" t="str">
        <f t="shared" si="0"/>
        <v>.</v>
      </c>
      <c r="V8" s="1" t="str">
        <f t="shared" si="0"/>
        <v>1</v>
      </c>
      <c r="W8" s="1" t="str">
        <f t="shared" si="0"/>
        <v>0</v>
      </c>
      <c r="X8" s="1" t="str">
        <f t="shared" si="0"/>
        <v>0</v>
      </c>
      <c r="Y8" s="1" t="str">
        <f t="shared" si="0"/>
        <v>0</v>
      </c>
    </row>
    <row r="9" spans="1:33" x14ac:dyDescent="0.35">
      <c r="A9" s="1" t="s">
        <v>20</v>
      </c>
      <c r="B9" s="1" t="s">
        <v>9</v>
      </c>
      <c r="C9">
        <f>65536-C7</f>
        <v>30536</v>
      </c>
      <c r="E9" s="1" t="s">
        <v>34</v>
      </c>
      <c r="G9" s="1" t="str">
        <f t="shared" si="1"/>
        <v>0</v>
      </c>
      <c r="H9" s="1" t="str">
        <f t="shared" si="0"/>
        <v>1</v>
      </c>
      <c r="I9" s="1" t="str">
        <f t="shared" si="0"/>
        <v>1</v>
      </c>
      <c r="J9" s="1" t="str">
        <f t="shared" si="0"/>
        <v>1</v>
      </c>
      <c r="K9" s="1" t="str">
        <f t="shared" si="0"/>
        <v>.</v>
      </c>
      <c r="L9" s="1" t="str">
        <f t="shared" si="0"/>
        <v>0</v>
      </c>
      <c r="M9" s="1" t="str">
        <f t="shared" si="0"/>
        <v>1</v>
      </c>
      <c r="N9" s="1" t="str">
        <f t="shared" si="0"/>
        <v>1</v>
      </c>
      <c r="O9" s="1" t="str">
        <f t="shared" si="0"/>
        <v>1</v>
      </c>
      <c r="P9" s="1" t="str">
        <f t="shared" si="0"/>
        <v>.</v>
      </c>
      <c r="Q9" s="1" t="str">
        <f t="shared" si="0"/>
        <v>0</v>
      </c>
      <c r="R9" s="1" t="str">
        <f t="shared" si="0"/>
        <v>1</v>
      </c>
      <c r="S9" s="1" t="str">
        <f t="shared" si="0"/>
        <v>0</v>
      </c>
      <c r="T9" s="1" t="str">
        <f t="shared" si="0"/>
        <v>0</v>
      </c>
      <c r="U9" s="1" t="str">
        <f t="shared" si="0"/>
        <v>.</v>
      </c>
      <c r="V9" s="1" t="str">
        <f t="shared" si="0"/>
        <v>1</v>
      </c>
      <c r="W9" s="1" t="str">
        <f t="shared" si="0"/>
        <v>0</v>
      </c>
      <c r="X9" s="1" t="str">
        <f t="shared" si="0"/>
        <v>0</v>
      </c>
      <c r="Y9" s="1" t="str">
        <f t="shared" si="0"/>
        <v>0</v>
      </c>
      <c r="AG9" t="s">
        <v>79</v>
      </c>
    </row>
    <row r="10" spans="1:33" x14ac:dyDescent="0.35">
      <c r="A10" s="1" t="s">
        <v>21</v>
      </c>
      <c r="B10" s="2" t="s">
        <v>10</v>
      </c>
      <c r="C10">
        <f>-C4</f>
        <v>-3000</v>
      </c>
      <c r="E10" s="1" t="s">
        <v>35</v>
      </c>
      <c r="F10" s="2" t="s">
        <v>39</v>
      </c>
      <c r="G10" s="1" t="str">
        <f t="shared" si="1"/>
        <v>1</v>
      </c>
      <c r="H10" s="1" t="str">
        <f t="shared" si="0"/>
        <v>1</v>
      </c>
      <c r="I10" s="1" t="str">
        <f t="shared" si="0"/>
        <v>1</v>
      </c>
      <c r="J10" s="1" t="str">
        <f t="shared" si="0"/>
        <v>1</v>
      </c>
      <c r="K10" s="1" t="str">
        <f t="shared" si="0"/>
        <v>.</v>
      </c>
      <c r="L10" s="1" t="str">
        <f t="shared" si="0"/>
        <v>0</v>
      </c>
      <c r="M10" s="1" t="str">
        <f t="shared" si="0"/>
        <v>1</v>
      </c>
      <c r="N10" s="1" t="str">
        <f t="shared" si="0"/>
        <v>0</v>
      </c>
      <c r="O10" s="1" t="str">
        <f t="shared" si="0"/>
        <v>0</v>
      </c>
      <c r="P10" s="1" t="str">
        <f t="shared" si="0"/>
        <v>.</v>
      </c>
      <c r="Q10" s="1" t="str">
        <f t="shared" si="0"/>
        <v>0</v>
      </c>
      <c r="R10" s="1" t="str">
        <f t="shared" si="0"/>
        <v>1</v>
      </c>
      <c r="S10" s="1" t="str">
        <f t="shared" si="0"/>
        <v>0</v>
      </c>
      <c r="T10" s="1" t="str">
        <f t="shared" si="0"/>
        <v>0</v>
      </c>
      <c r="U10" s="1" t="str">
        <f t="shared" si="0"/>
        <v>.</v>
      </c>
      <c r="V10" s="1" t="str">
        <f t="shared" si="0"/>
        <v>1</v>
      </c>
      <c r="W10" s="1" t="str">
        <f t="shared" si="0"/>
        <v>0</v>
      </c>
      <c r="X10" s="1" t="str">
        <f t="shared" si="0"/>
        <v>0</v>
      </c>
      <c r="Y10" s="1" t="str">
        <f t="shared" si="0"/>
        <v>0</v>
      </c>
    </row>
    <row r="11" spans="1:33" x14ac:dyDescent="0.35">
      <c r="A11" s="1" t="s">
        <v>22</v>
      </c>
      <c r="B11" s="2" t="s">
        <v>11</v>
      </c>
      <c r="C11">
        <f>-C5</f>
        <v>-16000</v>
      </c>
      <c r="E11" s="1" t="s">
        <v>36</v>
      </c>
      <c r="F11" s="2" t="s">
        <v>40</v>
      </c>
      <c r="G11" s="1" t="str">
        <f t="shared" si="1"/>
        <v>1</v>
      </c>
      <c r="H11" s="1" t="str">
        <f t="shared" si="0"/>
        <v>1</v>
      </c>
      <c r="I11" s="1" t="str">
        <f t="shared" si="0"/>
        <v>0</v>
      </c>
      <c r="J11" s="1" t="str">
        <f t="shared" si="0"/>
        <v>0</v>
      </c>
      <c r="K11" s="1" t="str">
        <f t="shared" si="0"/>
        <v>.</v>
      </c>
      <c r="L11" s="1" t="str">
        <f t="shared" si="0"/>
        <v>0</v>
      </c>
      <c r="M11" s="1" t="str">
        <f t="shared" si="0"/>
        <v>0</v>
      </c>
      <c r="N11" s="1" t="str">
        <f t="shared" si="0"/>
        <v>0</v>
      </c>
      <c r="O11" s="1" t="str">
        <f t="shared" si="0"/>
        <v>1</v>
      </c>
      <c r="P11" s="1" t="str">
        <f t="shared" si="0"/>
        <v>.</v>
      </c>
      <c r="Q11" s="1" t="str">
        <f t="shared" si="0"/>
        <v>1</v>
      </c>
      <c r="R11" s="1" t="str">
        <f t="shared" si="0"/>
        <v>0</v>
      </c>
      <c r="S11" s="1" t="str">
        <f t="shared" si="0"/>
        <v>0</v>
      </c>
      <c r="T11" s="1" t="str">
        <f t="shared" si="0"/>
        <v>0</v>
      </c>
      <c r="U11" s="1" t="str">
        <f t="shared" si="0"/>
        <v>.</v>
      </c>
      <c r="V11" s="1" t="str">
        <f t="shared" si="0"/>
        <v>0</v>
      </c>
      <c r="W11" s="1" t="str">
        <f t="shared" si="0"/>
        <v>0</v>
      </c>
      <c r="X11" s="1" t="str">
        <f t="shared" si="0"/>
        <v>0</v>
      </c>
      <c r="Y11" s="1" t="str">
        <f t="shared" si="0"/>
        <v>0</v>
      </c>
    </row>
    <row r="12" spans="1:33" x14ac:dyDescent="0.35">
      <c r="A12" s="1" t="s">
        <v>23</v>
      </c>
      <c r="B12" s="2" t="s">
        <v>12</v>
      </c>
      <c r="C12">
        <f t="shared" ref="C12:C15" si="2">-C6</f>
        <v>-19000</v>
      </c>
      <c r="E12" s="1" t="s">
        <v>37</v>
      </c>
      <c r="F12" s="2" t="s">
        <v>41</v>
      </c>
      <c r="G12" s="1" t="str">
        <f t="shared" si="1"/>
        <v>1</v>
      </c>
      <c r="H12" s="1" t="str">
        <f t="shared" si="0"/>
        <v>0</v>
      </c>
      <c r="I12" s="1" t="str">
        <f t="shared" si="0"/>
        <v>1</v>
      </c>
      <c r="J12" s="1" t="str">
        <f t="shared" si="0"/>
        <v>1</v>
      </c>
      <c r="K12" s="1" t="str">
        <f t="shared" si="0"/>
        <v>.</v>
      </c>
      <c r="L12" s="1" t="str">
        <f t="shared" si="0"/>
        <v>0</v>
      </c>
      <c r="M12" s="1" t="str">
        <f t="shared" si="0"/>
        <v>1</v>
      </c>
      <c r="N12" s="1" t="str">
        <f t="shared" si="0"/>
        <v>0</v>
      </c>
      <c r="O12" s="1" t="str">
        <f t="shared" si="0"/>
        <v>1</v>
      </c>
      <c r="P12" s="1" t="str">
        <f t="shared" si="0"/>
        <v>.</v>
      </c>
      <c r="Q12" s="1" t="str">
        <f t="shared" si="0"/>
        <v>1</v>
      </c>
      <c r="R12" s="1" t="str">
        <f t="shared" si="0"/>
        <v>1</v>
      </c>
      <c r="S12" s="1" t="str">
        <f t="shared" si="0"/>
        <v>0</v>
      </c>
      <c r="T12" s="1" t="str">
        <f t="shared" si="0"/>
        <v>0</v>
      </c>
      <c r="U12" s="1" t="str">
        <f t="shared" si="0"/>
        <v>.</v>
      </c>
      <c r="V12" s="1" t="str">
        <f t="shared" si="0"/>
        <v>1</v>
      </c>
      <c r="W12" s="1" t="str">
        <f t="shared" si="0"/>
        <v>0</v>
      </c>
      <c r="X12" s="1" t="str">
        <f t="shared" si="0"/>
        <v>0</v>
      </c>
      <c r="Y12" s="1" t="str">
        <f t="shared" si="0"/>
        <v>0</v>
      </c>
    </row>
    <row r="13" spans="1:33" x14ac:dyDescent="0.35">
      <c r="A13" s="1" t="s">
        <v>24</v>
      </c>
      <c r="B13" s="2" t="s">
        <v>13</v>
      </c>
      <c r="C13">
        <f t="shared" si="2"/>
        <v>-35000</v>
      </c>
      <c r="E13" s="1" t="s">
        <v>31</v>
      </c>
      <c r="F13" s="2" t="s">
        <v>42</v>
      </c>
      <c r="G13" s="1" t="str">
        <f t="shared" si="1"/>
        <v>0</v>
      </c>
      <c r="H13" s="1" t="str">
        <f t="shared" si="0"/>
        <v>1</v>
      </c>
      <c r="I13" s="1" t="str">
        <f t="shared" si="0"/>
        <v>1</v>
      </c>
      <c r="J13" s="1" t="str">
        <f t="shared" si="0"/>
        <v>1</v>
      </c>
      <c r="K13" s="1" t="str">
        <f t="shared" si="0"/>
        <v>.</v>
      </c>
      <c r="L13" s="1" t="str">
        <f t="shared" si="0"/>
        <v>0</v>
      </c>
      <c r="M13" s="1" t="str">
        <f t="shared" si="0"/>
        <v>1</v>
      </c>
      <c r="N13" s="1" t="str">
        <f t="shared" si="0"/>
        <v>1</v>
      </c>
      <c r="O13" s="1" t="str">
        <f t="shared" si="0"/>
        <v>1</v>
      </c>
      <c r="P13" s="1" t="str">
        <f t="shared" si="0"/>
        <v>.</v>
      </c>
      <c r="Q13" s="1" t="str">
        <f t="shared" si="0"/>
        <v>0</v>
      </c>
      <c r="R13" s="1" t="str">
        <f t="shared" si="0"/>
        <v>1</v>
      </c>
      <c r="S13" s="1" t="str">
        <f t="shared" si="0"/>
        <v>0</v>
      </c>
      <c r="T13" s="1" t="str">
        <f t="shared" si="0"/>
        <v>0</v>
      </c>
      <c r="U13" s="1" t="str">
        <f t="shared" si="0"/>
        <v>.</v>
      </c>
      <c r="V13" s="1" t="str">
        <f t="shared" si="0"/>
        <v>1</v>
      </c>
      <c r="W13" s="1" t="str">
        <f t="shared" si="0"/>
        <v>0</v>
      </c>
      <c r="X13" s="1" t="str">
        <f t="shared" si="0"/>
        <v>0</v>
      </c>
      <c r="Y13" s="1" t="str">
        <f t="shared" si="0"/>
        <v>0</v>
      </c>
    </row>
    <row r="14" spans="1:33" x14ac:dyDescent="0.35">
      <c r="A14" s="1" t="s">
        <v>25</v>
      </c>
      <c r="B14" s="2" t="s">
        <v>14</v>
      </c>
      <c r="C14">
        <f t="shared" si="2"/>
        <v>-13000</v>
      </c>
      <c r="E14" s="1" t="s">
        <v>30</v>
      </c>
      <c r="F14" s="2" t="s">
        <v>43</v>
      </c>
      <c r="G14" s="1" t="str">
        <f t="shared" si="1"/>
        <v>1</v>
      </c>
      <c r="H14" s="1" t="str">
        <f t="shared" si="0"/>
        <v>1</v>
      </c>
      <c r="I14" s="1" t="str">
        <f t="shared" si="0"/>
        <v>0</v>
      </c>
      <c r="J14" s="1" t="str">
        <f t="shared" si="0"/>
        <v>0</v>
      </c>
      <c r="K14" s="1" t="str">
        <f t="shared" si="0"/>
        <v>.</v>
      </c>
      <c r="L14" s="1" t="str">
        <f t="shared" si="0"/>
        <v>1</v>
      </c>
      <c r="M14" s="1" t="str">
        <f t="shared" si="0"/>
        <v>1</v>
      </c>
      <c r="N14" s="1" t="str">
        <f t="shared" si="0"/>
        <v>0</v>
      </c>
      <c r="O14" s="1" t="str">
        <f t="shared" si="0"/>
        <v>1</v>
      </c>
      <c r="P14" s="1" t="str">
        <f t="shared" si="0"/>
        <v>.</v>
      </c>
      <c r="Q14" s="1" t="str">
        <f t="shared" si="0"/>
        <v>0</v>
      </c>
      <c r="R14" s="1" t="str">
        <f t="shared" si="0"/>
        <v>0</v>
      </c>
      <c r="S14" s="1" t="str">
        <f t="shared" si="0"/>
        <v>1</v>
      </c>
      <c r="T14" s="1" t="str">
        <f t="shared" si="0"/>
        <v>1</v>
      </c>
      <c r="U14" s="1" t="str">
        <f t="shared" si="0"/>
        <v>.</v>
      </c>
      <c r="V14" s="1" t="str">
        <f t="shared" si="0"/>
        <v>1</v>
      </c>
      <c r="W14" s="1" t="str">
        <f t="shared" si="0"/>
        <v>0</v>
      </c>
      <c r="X14" s="1" t="str">
        <f t="shared" si="0"/>
        <v>0</v>
      </c>
      <c r="Y14" s="1" t="str">
        <f t="shared" si="0"/>
        <v>0</v>
      </c>
    </row>
    <row r="15" spans="1:33" x14ac:dyDescent="0.35">
      <c r="A15" s="1" t="s">
        <v>26</v>
      </c>
      <c r="B15" s="2" t="s">
        <v>15</v>
      </c>
      <c r="C15">
        <f t="shared" si="2"/>
        <v>-30536</v>
      </c>
      <c r="E15" s="1" t="s">
        <v>29</v>
      </c>
      <c r="F15" s="2" t="s">
        <v>44</v>
      </c>
      <c r="G15" s="1" t="str">
        <f t="shared" si="1"/>
        <v>1</v>
      </c>
      <c r="H15" s="1" t="str">
        <f t="shared" si="0"/>
        <v>0</v>
      </c>
      <c r="I15" s="1" t="str">
        <f t="shared" si="0"/>
        <v>0</v>
      </c>
      <c r="J15" s="1" t="str">
        <f t="shared" si="0"/>
        <v>0</v>
      </c>
      <c r="K15" s="1" t="str">
        <f t="shared" si="0"/>
        <v>.</v>
      </c>
      <c r="L15" s="1" t="str">
        <f t="shared" si="0"/>
        <v>1</v>
      </c>
      <c r="M15" s="1" t="str">
        <f t="shared" si="0"/>
        <v>0</v>
      </c>
      <c r="N15" s="1" t="str">
        <f t="shared" si="0"/>
        <v>0</v>
      </c>
      <c r="O15" s="1" t="str">
        <f t="shared" si="0"/>
        <v>0</v>
      </c>
      <c r="P15" s="1" t="str">
        <f t="shared" si="0"/>
        <v>.</v>
      </c>
      <c r="Q15" s="1" t="str">
        <f t="shared" si="0"/>
        <v>1</v>
      </c>
      <c r="R15" s="1" t="str">
        <f t="shared" si="0"/>
        <v>0</v>
      </c>
      <c r="S15" s="1" t="str">
        <f t="shared" si="0"/>
        <v>1</v>
      </c>
      <c r="T15" s="1" t="str">
        <f t="shared" si="0"/>
        <v>1</v>
      </c>
      <c r="U15" s="1" t="str">
        <f t="shared" si="0"/>
        <v>.</v>
      </c>
      <c r="V15" s="1" t="str">
        <f t="shared" si="0"/>
        <v>1</v>
      </c>
      <c r="W15" s="1" t="str">
        <f t="shared" si="0"/>
        <v>0</v>
      </c>
      <c r="X15" s="1" t="str">
        <f t="shared" si="0"/>
        <v>0</v>
      </c>
      <c r="Y15" s="1" t="str">
        <f t="shared" si="0"/>
        <v>0</v>
      </c>
    </row>
    <row r="17" spans="4:32" x14ac:dyDescent="0.35">
      <c r="G17" s="5">
        <f t="shared" ref="G17:W17" si="3">IF(H18=".",H17,IF(OR(H18+H19+H17=2,H17+H18+H19=3),1,0))</f>
        <v>0</v>
      </c>
      <c r="H17" s="5">
        <f t="shared" si="3"/>
        <v>1</v>
      </c>
      <c r="I17" s="5">
        <f t="shared" si="3"/>
        <v>1</v>
      </c>
      <c r="J17" s="5">
        <f t="shared" si="3"/>
        <v>1</v>
      </c>
      <c r="K17" s="5">
        <f t="shared" si="3"/>
        <v>1</v>
      </c>
      <c r="L17" s="5">
        <f t="shared" si="3"/>
        <v>1</v>
      </c>
      <c r="M17" s="5">
        <f t="shared" si="3"/>
        <v>1</v>
      </c>
      <c r="N17" s="5">
        <f t="shared" si="3"/>
        <v>1</v>
      </c>
      <c r="O17" s="5">
        <f t="shared" si="3"/>
        <v>1</v>
      </c>
      <c r="P17" s="5">
        <f t="shared" si="3"/>
        <v>1</v>
      </c>
      <c r="Q17" s="5">
        <f t="shared" si="3"/>
        <v>0</v>
      </c>
      <c r="R17" s="5">
        <f t="shared" si="3"/>
        <v>0</v>
      </c>
      <c r="S17" s="5">
        <f t="shared" si="3"/>
        <v>0</v>
      </c>
      <c r="T17" s="5">
        <f t="shared" si="3"/>
        <v>0</v>
      </c>
      <c r="U17" s="9">
        <f t="shared" si="3"/>
        <v>0</v>
      </c>
      <c r="V17" s="5">
        <f t="shared" si="3"/>
        <v>0</v>
      </c>
      <c r="W17" s="5">
        <f t="shared" si="3"/>
        <v>0</v>
      </c>
      <c r="X17" s="5">
        <f>IF(Y18=".",Y17,IF(OR(Y18+Y19+Y17=2,Y17+Y18+Y19=3),1,0))</f>
        <v>0</v>
      </c>
      <c r="Y17" s="5">
        <v>0</v>
      </c>
    </row>
    <row r="18" spans="4:32" x14ac:dyDescent="0.35">
      <c r="E18" s="2" t="s">
        <v>50</v>
      </c>
      <c r="G18" t="str">
        <f t="shared" ref="G18:I19" si="4">G4</f>
        <v>0</v>
      </c>
      <c r="H18" t="str">
        <f t="shared" si="4"/>
        <v>0</v>
      </c>
      <c r="I18" t="str">
        <f t="shared" si="4"/>
        <v>0</v>
      </c>
      <c r="J18" t="str">
        <f t="shared" ref="J18:X18" si="5">J4</f>
        <v>0</v>
      </c>
      <c r="K18" t="str">
        <f t="shared" si="5"/>
        <v>.</v>
      </c>
      <c r="L18" t="str">
        <f t="shared" si="5"/>
        <v>1</v>
      </c>
      <c r="M18" t="str">
        <f t="shared" si="5"/>
        <v>0</v>
      </c>
      <c r="N18" t="str">
        <f t="shared" si="5"/>
        <v>1</v>
      </c>
      <c r="O18" t="str">
        <f t="shared" si="5"/>
        <v>1</v>
      </c>
      <c r="P18" t="str">
        <f t="shared" si="5"/>
        <v>.</v>
      </c>
      <c r="Q18" t="str">
        <f t="shared" si="5"/>
        <v>1</v>
      </c>
      <c r="R18" t="str">
        <f t="shared" si="5"/>
        <v>0</v>
      </c>
      <c r="S18" t="str">
        <f t="shared" si="5"/>
        <v>1</v>
      </c>
      <c r="T18" t="str">
        <f t="shared" si="5"/>
        <v>1</v>
      </c>
      <c r="U18" t="str">
        <f t="shared" si="5"/>
        <v>.</v>
      </c>
      <c r="V18" t="str">
        <f t="shared" si="5"/>
        <v>1</v>
      </c>
      <c r="W18" t="str">
        <f t="shared" si="5"/>
        <v>0</v>
      </c>
      <c r="X18" t="str">
        <f t="shared" si="5"/>
        <v>0</v>
      </c>
      <c r="Y18" t="str">
        <f>Y4</f>
        <v>0</v>
      </c>
      <c r="AC18" t="s">
        <v>54</v>
      </c>
      <c r="AD18">
        <f>C4</f>
        <v>3000</v>
      </c>
    </row>
    <row r="19" spans="4:32" x14ac:dyDescent="0.35">
      <c r="D19" s="7" t="s">
        <v>48</v>
      </c>
      <c r="E19" s="1" t="s">
        <v>51</v>
      </c>
      <c r="G19" t="str">
        <f t="shared" si="4"/>
        <v>0</v>
      </c>
      <c r="H19" t="str">
        <f t="shared" si="4"/>
        <v>0</v>
      </c>
      <c r="I19" t="str">
        <f t="shared" si="4"/>
        <v>1</v>
      </c>
      <c r="J19" t="str">
        <f t="shared" ref="J19:Y19" si="6">J5</f>
        <v>1</v>
      </c>
      <c r="K19" t="str">
        <f t="shared" si="6"/>
        <v>.</v>
      </c>
      <c r="L19" t="str">
        <f t="shared" si="6"/>
        <v>1</v>
      </c>
      <c r="M19" t="str">
        <f t="shared" si="6"/>
        <v>1</v>
      </c>
      <c r="N19" t="str">
        <f t="shared" si="6"/>
        <v>1</v>
      </c>
      <c r="O19" t="str">
        <f t="shared" si="6"/>
        <v>0</v>
      </c>
      <c r="P19" t="str">
        <f t="shared" si="6"/>
        <v>.</v>
      </c>
      <c r="Q19" t="str">
        <f t="shared" si="6"/>
        <v>1</v>
      </c>
      <c r="R19" t="str">
        <f t="shared" si="6"/>
        <v>0</v>
      </c>
      <c r="S19" t="str">
        <f t="shared" si="6"/>
        <v>0</v>
      </c>
      <c r="T19" t="str">
        <f t="shared" si="6"/>
        <v>0</v>
      </c>
      <c r="U19" t="str">
        <f t="shared" si="6"/>
        <v>.</v>
      </c>
      <c r="V19" t="str">
        <f t="shared" si="6"/>
        <v>0</v>
      </c>
      <c r="W19" t="str">
        <f t="shared" si="6"/>
        <v>0</v>
      </c>
      <c r="X19" t="str">
        <f t="shared" si="6"/>
        <v>0</v>
      </c>
      <c r="Y19" t="str">
        <f t="shared" si="6"/>
        <v>0</v>
      </c>
      <c r="AB19" s="7" t="s">
        <v>48</v>
      </c>
      <c r="AC19" t="s">
        <v>55</v>
      </c>
      <c r="AD19">
        <f>C5</f>
        <v>16000</v>
      </c>
      <c r="AF19" t="str">
        <f>IF(W22=0,IF(AND(AA20=AD20,H22=0),$AG$2,$AG$4),IF(G20=0,$AG$5,$AG$3))</f>
        <v>Result is correct.</v>
      </c>
    </row>
    <row r="20" spans="4:32" x14ac:dyDescent="0.35">
      <c r="D20" s="3"/>
      <c r="E20" s="3"/>
      <c r="F20" s="3"/>
      <c r="G20" s="6">
        <f t="shared" ref="G20:W20" si="7">IF(G18=".",".",IF(OR(G18+G19+G17=2,G17+G18+G19=0),0,1))</f>
        <v>0</v>
      </c>
      <c r="H20" s="6">
        <f t="shared" si="7"/>
        <v>1</v>
      </c>
      <c r="I20" s="6">
        <f t="shared" si="7"/>
        <v>0</v>
      </c>
      <c r="J20" s="6">
        <f t="shared" si="7"/>
        <v>0</v>
      </c>
      <c r="K20" s="6" t="str">
        <f t="shared" si="7"/>
        <v>.</v>
      </c>
      <c r="L20" s="6">
        <f t="shared" si="7"/>
        <v>1</v>
      </c>
      <c r="M20" s="6">
        <f t="shared" si="7"/>
        <v>0</v>
      </c>
      <c r="N20" s="6">
        <f t="shared" si="7"/>
        <v>1</v>
      </c>
      <c r="O20" s="6">
        <f t="shared" si="7"/>
        <v>0</v>
      </c>
      <c r="P20" s="6" t="str">
        <f t="shared" si="7"/>
        <v>.</v>
      </c>
      <c r="Q20" s="6">
        <f t="shared" si="7"/>
        <v>0</v>
      </c>
      <c r="R20" s="6">
        <f t="shared" si="7"/>
        <v>0</v>
      </c>
      <c r="S20" s="6">
        <f t="shared" si="7"/>
        <v>1</v>
      </c>
      <c r="T20" s="6">
        <f t="shared" si="7"/>
        <v>1</v>
      </c>
      <c r="U20" s="6" t="str">
        <f t="shared" si="7"/>
        <v>.</v>
      </c>
      <c r="V20" s="6">
        <f t="shared" si="7"/>
        <v>1</v>
      </c>
      <c r="W20" s="6">
        <f t="shared" si="7"/>
        <v>0</v>
      </c>
      <c r="X20" s="6">
        <f>IF(X18=".",".",IF(OR(X18+X19+X17=2,X17+X18+X19=0),0,1))</f>
        <v>0</v>
      </c>
      <c r="Y20" s="6">
        <f>IF(Y18=".",".",IF(OR(Y18+Y19=2,Y18+Y19=0),0,1))</f>
        <v>0</v>
      </c>
      <c r="Z20" s="7" t="s">
        <v>52</v>
      </c>
      <c r="AA20">
        <f>IF(G20=0,_xlfn.DECIMAL(G20&amp;H20&amp;I20&amp;J20&amp;L20&amp;M20&amp;N20&amp;O20&amp;Q20&amp;R20&amp;S20&amp;T20&amp;V20&amp;W20&amp;X20&amp;Y20,2),0-_xlfn.DECIMAL(H21&amp;I21&amp;J21&amp;L21&amp;M21&amp;N21&amp;O21&amp;Q21&amp;R21&amp;S21&amp;T21&amp;V21&amp;W21&amp;X21&amp;Y21,2))</f>
        <v>19000</v>
      </c>
      <c r="AB20" s="3"/>
      <c r="AC20" s="3"/>
      <c r="AD20" s="3">
        <f>AD18+AD19</f>
        <v>19000</v>
      </c>
    </row>
    <row r="21" spans="4:32" x14ac:dyDescent="0.35">
      <c r="E21" t="s">
        <v>53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4:32" x14ac:dyDescent="0.35">
      <c r="G22" t="s">
        <v>62</v>
      </c>
      <c r="H22">
        <f>G17</f>
        <v>0</v>
      </c>
      <c r="J22" t="s">
        <v>63</v>
      </c>
      <c r="K22">
        <f>MOD(SUM(G20:J20)+SUM(L20:O20)+SUM(Q20:T20)+SUM(V20:Y20)+1,2)</f>
        <v>1</v>
      </c>
      <c r="M22" s="10" t="s">
        <v>64</v>
      </c>
      <c r="N22">
        <f>U17</f>
        <v>0</v>
      </c>
      <c r="P22" t="s">
        <v>57</v>
      </c>
      <c r="Q22">
        <f>IF(AA20=0,1,0)</f>
        <v>0</v>
      </c>
      <c r="S22" t="s">
        <v>56</v>
      </c>
      <c r="T22">
        <f>G20</f>
        <v>0</v>
      </c>
      <c r="V22" t="s">
        <v>58</v>
      </c>
      <c r="W22">
        <f>IF(AND(G18="0",G19="0",G20=1),1,IF(AND(G18="1",G19="1",G20=0),1,0))</f>
        <v>0</v>
      </c>
      <c r="X22" s="4"/>
      <c r="Y22" s="4"/>
    </row>
    <row r="26" spans="4:32" x14ac:dyDescent="0.35">
      <c r="G26" s="5">
        <f t="shared" ref="G26:W26" si="8">IF(H27=".",H26,IF(OR(H27+H28+H26=2,H26+H27+H28=3),1,0))</f>
        <v>1</v>
      </c>
      <c r="H26" s="5">
        <f t="shared" si="8"/>
        <v>1</v>
      </c>
      <c r="I26" s="5">
        <f t="shared" si="8"/>
        <v>1</v>
      </c>
      <c r="J26" s="5">
        <f t="shared" si="8"/>
        <v>1</v>
      </c>
      <c r="K26" s="5">
        <f t="shared" si="8"/>
        <v>1</v>
      </c>
      <c r="L26" s="5">
        <f t="shared" si="8"/>
        <v>1</v>
      </c>
      <c r="M26" s="5">
        <f t="shared" si="8"/>
        <v>1</v>
      </c>
      <c r="N26" s="5">
        <f t="shared" si="8"/>
        <v>0</v>
      </c>
      <c r="O26" s="5">
        <f t="shared" si="8"/>
        <v>0</v>
      </c>
      <c r="P26" s="5">
        <f t="shared" si="8"/>
        <v>0</v>
      </c>
      <c r="Q26" s="5">
        <f t="shared" si="8"/>
        <v>0</v>
      </c>
      <c r="R26" s="5">
        <f t="shared" si="8"/>
        <v>0</v>
      </c>
      <c r="S26" s="5">
        <f t="shared" si="8"/>
        <v>0</v>
      </c>
      <c r="T26" s="5">
        <f t="shared" si="8"/>
        <v>0</v>
      </c>
      <c r="U26" s="9">
        <f t="shared" si="8"/>
        <v>0</v>
      </c>
      <c r="V26" s="5">
        <f t="shared" si="8"/>
        <v>0</v>
      </c>
      <c r="W26" s="5">
        <f t="shared" si="8"/>
        <v>0</v>
      </c>
      <c r="X26" s="5">
        <f>IF(Y27=".",Y26,IF(OR(Y27+Y28+Y26=2,Y26+Y27+Y28=3),1,0))</f>
        <v>0</v>
      </c>
      <c r="Y26" s="5">
        <v>0</v>
      </c>
    </row>
    <row r="27" spans="4:32" x14ac:dyDescent="0.35">
      <c r="E27" t="s">
        <v>51</v>
      </c>
      <c r="G27" s="4" t="str">
        <f>G5</f>
        <v>0</v>
      </c>
      <c r="H27" s="4" t="str">
        <f>H5</f>
        <v>0</v>
      </c>
      <c r="I27" s="4" t="str">
        <f t="shared" ref="I27:Y27" si="9">I5</f>
        <v>1</v>
      </c>
      <c r="J27" s="4" t="str">
        <f t="shared" si="9"/>
        <v>1</v>
      </c>
      <c r="K27" s="4" t="str">
        <f t="shared" si="9"/>
        <v>.</v>
      </c>
      <c r="L27" s="4" t="str">
        <f t="shared" si="9"/>
        <v>1</v>
      </c>
      <c r="M27" s="4" t="str">
        <f t="shared" si="9"/>
        <v>1</v>
      </c>
      <c r="N27" s="4" t="str">
        <f t="shared" si="9"/>
        <v>1</v>
      </c>
      <c r="O27" s="4" t="str">
        <f t="shared" si="9"/>
        <v>0</v>
      </c>
      <c r="P27" s="4" t="str">
        <f t="shared" si="9"/>
        <v>.</v>
      </c>
      <c r="Q27" s="4" t="str">
        <f t="shared" si="9"/>
        <v>1</v>
      </c>
      <c r="R27" s="4" t="str">
        <f t="shared" si="9"/>
        <v>0</v>
      </c>
      <c r="S27" s="4" t="str">
        <f t="shared" si="9"/>
        <v>0</v>
      </c>
      <c r="T27" s="4" t="str">
        <f t="shared" si="9"/>
        <v>0</v>
      </c>
      <c r="U27" s="4" t="str">
        <f t="shared" si="9"/>
        <v>.</v>
      </c>
      <c r="V27" s="4" t="str">
        <f t="shared" si="9"/>
        <v>0</v>
      </c>
      <c r="W27" s="4" t="str">
        <f t="shared" si="9"/>
        <v>0</v>
      </c>
      <c r="X27" s="4" t="str">
        <f t="shared" si="9"/>
        <v>0</v>
      </c>
      <c r="Y27" s="4" t="str">
        <f t="shared" si="9"/>
        <v>0</v>
      </c>
      <c r="AC27" t="s">
        <v>55</v>
      </c>
      <c r="AD27">
        <f>C5</f>
        <v>16000</v>
      </c>
    </row>
    <row r="28" spans="4:32" x14ac:dyDescent="0.35">
      <c r="D28" s="7" t="s">
        <v>48</v>
      </c>
      <c r="E28" t="s">
        <v>59</v>
      </c>
      <c r="G28" s="4" t="str">
        <f>G6</f>
        <v>0</v>
      </c>
      <c r="H28" s="4" t="str">
        <f>H6</f>
        <v>1</v>
      </c>
      <c r="I28" s="4" t="str">
        <f t="shared" ref="I28:Y28" si="10">I6</f>
        <v>0</v>
      </c>
      <c r="J28" s="4" t="str">
        <f t="shared" si="10"/>
        <v>0</v>
      </c>
      <c r="K28" s="4" t="str">
        <f t="shared" si="10"/>
        <v>.</v>
      </c>
      <c r="L28" s="4" t="str">
        <f t="shared" si="10"/>
        <v>1</v>
      </c>
      <c r="M28" s="4" t="str">
        <f t="shared" si="10"/>
        <v>0</v>
      </c>
      <c r="N28" s="4" t="str">
        <f t="shared" si="10"/>
        <v>1</v>
      </c>
      <c r="O28" s="4" t="str">
        <f t="shared" si="10"/>
        <v>0</v>
      </c>
      <c r="P28" s="4" t="str">
        <f t="shared" si="10"/>
        <v>.</v>
      </c>
      <c r="Q28" s="4" t="str">
        <f t="shared" si="10"/>
        <v>0</v>
      </c>
      <c r="R28" s="4" t="str">
        <f t="shared" si="10"/>
        <v>0</v>
      </c>
      <c r="S28" s="4" t="str">
        <f t="shared" si="10"/>
        <v>1</v>
      </c>
      <c r="T28" s="4" t="str">
        <f t="shared" si="10"/>
        <v>1</v>
      </c>
      <c r="U28" s="4" t="str">
        <f t="shared" si="10"/>
        <v>.</v>
      </c>
      <c r="V28" s="4" t="str">
        <f t="shared" si="10"/>
        <v>1</v>
      </c>
      <c r="W28" s="4" t="str">
        <f t="shared" si="10"/>
        <v>0</v>
      </c>
      <c r="X28" s="4" t="str">
        <f t="shared" si="10"/>
        <v>0</v>
      </c>
      <c r="Y28" s="4" t="str">
        <f t="shared" si="10"/>
        <v>0</v>
      </c>
      <c r="AB28" s="7" t="s">
        <v>48</v>
      </c>
      <c r="AC28" t="s">
        <v>61</v>
      </c>
      <c r="AD28">
        <f>C6</f>
        <v>19000</v>
      </c>
      <c r="AF28" t="str">
        <f>IF(W31=0,IF(AND(AA29=AD29,H31=0),$AG$2,$AG$4),IF(G29=0,$AG$5,$AG$3))</f>
        <v>Sum up of 2 positive numbers, create positive number.</v>
      </c>
    </row>
    <row r="29" spans="4:32" x14ac:dyDescent="0.35">
      <c r="D29" s="3"/>
      <c r="E29" s="3"/>
      <c r="F29" s="3"/>
      <c r="G29" s="6">
        <f t="shared" ref="G29" si="11">IF(G27=".",".",IF(OR(G27+G28+G26=2,G26+G27+G28=0),0,1))</f>
        <v>1</v>
      </c>
      <c r="H29" s="6">
        <f t="shared" ref="H29" si="12">IF(H27=".",".",IF(OR(H27+H28+H26=2,H26+H27+H28=0),0,1))</f>
        <v>0</v>
      </c>
      <c r="I29" s="6">
        <f t="shared" ref="I29" si="13">IF(I27=".",".",IF(OR(I27+I28+I26=2,I26+I27+I28=0),0,1))</f>
        <v>0</v>
      </c>
      <c r="J29" s="6">
        <f t="shared" ref="J29" si="14">IF(J27=".",".",IF(OR(J27+J28+J26=2,J26+J27+J28=0),0,1))</f>
        <v>0</v>
      </c>
      <c r="K29" s="6" t="str">
        <f t="shared" ref="K29" si="15">IF(K27=".",".",IF(OR(K27+K28+K26=2,K26+K27+K28=0),0,1))</f>
        <v>.</v>
      </c>
      <c r="L29" s="6">
        <f t="shared" ref="L29" si="16">IF(L27=".",".",IF(OR(L27+L28+L26=2,L26+L27+L28=0),0,1))</f>
        <v>1</v>
      </c>
      <c r="M29" s="6">
        <f t="shared" ref="M29" si="17">IF(M27=".",".",IF(OR(M27+M28+M26=2,M26+M27+M28=0),0,1))</f>
        <v>0</v>
      </c>
      <c r="N29" s="6">
        <f t="shared" ref="N29" si="18">IF(N27=".",".",IF(OR(N27+N28+N26=2,N26+N27+N28=0),0,1))</f>
        <v>0</v>
      </c>
      <c r="O29" s="6">
        <f t="shared" ref="O29" si="19">IF(O27=".",".",IF(OR(O27+O28+O26=2,O26+O27+O28=0),0,1))</f>
        <v>0</v>
      </c>
      <c r="P29" s="6" t="str">
        <f t="shared" ref="P29" si="20">IF(P27=".",".",IF(OR(P27+P28+P26=2,P26+P27+P28=0),0,1))</f>
        <v>.</v>
      </c>
      <c r="Q29" s="6">
        <f t="shared" ref="Q29" si="21">IF(Q27=".",".",IF(OR(Q27+Q28+Q26=2,Q26+Q27+Q28=0),0,1))</f>
        <v>1</v>
      </c>
      <c r="R29" s="6">
        <f t="shared" ref="R29" si="22">IF(R27=".",".",IF(OR(R27+R28+R26=2,R26+R27+R28=0),0,1))</f>
        <v>0</v>
      </c>
      <c r="S29" s="6">
        <f t="shared" ref="S29" si="23">IF(S27=".",".",IF(OR(S27+S28+S26=2,S26+S27+S28=0),0,1))</f>
        <v>1</v>
      </c>
      <c r="T29" s="6">
        <f t="shared" ref="T29" si="24">IF(T27=".",".",IF(OR(T27+T28+T26=2,T26+T27+T28=0),0,1))</f>
        <v>1</v>
      </c>
      <c r="U29" s="6" t="str">
        <f t="shared" ref="U29" si="25">IF(U27=".",".",IF(OR(U27+U28+U26=2,U26+U27+U28=0),0,1))</f>
        <v>.</v>
      </c>
      <c r="V29" s="6">
        <f t="shared" ref="V29" si="26">IF(V27=".",".",IF(OR(V27+V28+V26=2,V26+V27+V28=0),0,1))</f>
        <v>1</v>
      </c>
      <c r="W29" s="6">
        <f t="shared" ref="W29" si="27">IF(W27=".",".",IF(OR(W27+W28+W26=2,W26+W27+W28=0),0,1))</f>
        <v>0</v>
      </c>
      <c r="X29" s="6">
        <f>IF(X27=".",".",IF(OR(X27+X28+X26=2,X26+X27+X28=0),0,1))</f>
        <v>0</v>
      </c>
      <c r="Y29" s="6">
        <f>IF(Y27=".",".",IF(OR(Y27+Y28=2,Y27+Y28=0),0,1))</f>
        <v>0</v>
      </c>
      <c r="Z29" s="7" t="s">
        <v>52</v>
      </c>
      <c r="AA29">
        <f>IF(G29=0,_xlfn.DECIMAL(G29&amp;H29&amp;I29&amp;J29&amp;L29&amp;M29&amp;N29&amp;O29&amp;Q29&amp;R29&amp;S29&amp;T29&amp;V29&amp;W29&amp;X29&amp;Y29,2),0-_xlfn.DECIMAL(H30&amp;I30&amp;J30&amp;L30&amp;M30&amp;N30&amp;O30&amp;Q30&amp;R30&amp;S30&amp;T30&amp;V30&amp;W30&amp;X30&amp;Y30,2))</f>
        <v>-30535</v>
      </c>
      <c r="AB29" s="3"/>
      <c r="AC29" s="3"/>
      <c r="AD29" s="3">
        <f>AD27+AD28</f>
        <v>35000</v>
      </c>
    </row>
    <row r="30" spans="4:32" x14ac:dyDescent="0.35">
      <c r="E30" t="s">
        <v>60</v>
      </c>
      <c r="G30" s="4">
        <f>IF(G29=0,0,1)</f>
        <v>1</v>
      </c>
      <c r="H30" s="4">
        <f>IF(H29=".",".",IF(H29=1,0,1))</f>
        <v>1</v>
      </c>
      <c r="I30" s="4">
        <f t="shared" ref="I30" si="28">IF(I29=".",".",IF(I29=1,0,1))</f>
        <v>1</v>
      </c>
      <c r="J30" s="4">
        <f t="shared" ref="J30" si="29">IF(J29=".",".",IF(J29=1,0,1))</f>
        <v>1</v>
      </c>
      <c r="K30" s="4" t="str">
        <f t="shared" ref="K30" si="30">IF(K29=".",".",IF(K29=1,0,1))</f>
        <v>.</v>
      </c>
      <c r="L30" s="4">
        <f t="shared" ref="L30" si="31">IF(L29=".",".",IF(L29=1,0,1))</f>
        <v>0</v>
      </c>
      <c r="M30" s="4">
        <f t="shared" ref="M30" si="32">IF(M29=".",".",IF(M29=1,0,1))</f>
        <v>1</v>
      </c>
      <c r="N30" s="4">
        <f t="shared" ref="N30" si="33">IF(N29=".",".",IF(N29=1,0,1))</f>
        <v>1</v>
      </c>
      <c r="O30" s="4">
        <f t="shared" ref="O30" si="34">IF(O29=".",".",IF(O29=1,0,1))</f>
        <v>1</v>
      </c>
      <c r="P30" s="4" t="str">
        <f t="shared" ref="P30" si="35">IF(P29=".",".",IF(P29=1,0,1))</f>
        <v>.</v>
      </c>
      <c r="Q30" s="4">
        <f t="shared" ref="Q30" si="36">IF(Q29=".",".",IF(Q29=1,0,1))</f>
        <v>0</v>
      </c>
      <c r="R30" s="4">
        <f t="shared" ref="R30" si="37">IF(R29=".",".",IF(R29=1,0,1))</f>
        <v>1</v>
      </c>
      <c r="S30" s="4">
        <f t="shared" ref="S30" si="38">IF(S29=".",".",IF(S29=1,0,1))</f>
        <v>0</v>
      </c>
      <c r="T30" s="4">
        <f t="shared" ref="T30" si="39">IF(T29=".",".",IF(T29=1,0,1))</f>
        <v>0</v>
      </c>
      <c r="U30" s="4" t="str">
        <f t="shared" ref="U30" si="40">IF(U29=".",".",IF(U29=1,0,1))</f>
        <v>.</v>
      </c>
      <c r="V30" s="4">
        <f t="shared" ref="V30" si="41">IF(V29=".",".",IF(V29=1,0,1))</f>
        <v>0</v>
      </c>
      <c r="W30" s="4">
        <f t="shared" ref="W30" si="42">IF(W29=".",".",IF(W29=1,0,1))</f>
        <v>1</v>
      </c>
      <c r="X30" s="4">
        <f t="shared" ref="X30" si="43">IF(X29=".",".",IF(X29=1,0,1))</f>
        <v>1</v>
      </c>
      <c r="Y30" s="4">
        <f>1</f>
        <v>1</v>
      </c>
    </row>
    <row r="31" spans="4:32" x14ac:dyDescent="0.35">
      <c r="G31" t="s">
        <v>62</v>
      </c>
      <c r="H31">
        <f>G26</f>
        <v>1</v>
      </c>
      <c r="J31" t="s">
        <v>63</v>
      </c>
      <c r="K31">
        <f>MOD(SUM(G29:J29)+SUM(L29:O29)+SUM(Q29:T29)+SUM(V29:Y29)+1,2)</f>
        <v>1</v>
      </c>
      <c r="M31" s="10" t="s">
        <v>64</v>
      </c>
      <c r="N31">
        <f>U26</f>
        <v>0</v>
      </c>
      <c r="P31" t="s">
        <v>57</v>
      </c>
      <c r="Q31">
        <f>IF(AA29=0,1,0)</f>
        <v>0</v>
      </c>
      <c r="S31" t="s">
        <v>56</v>
      </c>
      <c r="T31">
        <f>G29</f>
        <v>1</v>
      </c>
      <c r="V31" t="s">
        <v>78</v>
      </c>
      <c r="W31">
        <f>IF(AND(G27="0",G28="0",G29=1),1,IF(AND(G27="1",G28="1",G29=0),1,0))</f>
        <v>1</v>
      </c>
    </row>
    <row r="35" spans="4:32" x14ac:dyDescent="0.35">
      <c r="G35" s="5">
        <f t="shared" ref="G35:W35" si="44">IF(H36=".",H35,IF(OR(H36+H37+H35=2,H35+H36+H37=3),1,0))</f>
        <v>1</v>
      </c>
      <c r="H35" s="5">
        <f t="shared" si="44"/>
        <v>1</v>
      </c>
      <c r="I35" s="5">
        <f t="shared" si="44"/>
        <v>1</v>
      </c>
      <c r="J35" s="5">
        <f t="shared" si="44"/>
        <v>1</v>
      </c>
      <c r="K35" s="5">
        <f t="shared" si="44"/>
        <v>1</v>
      </c>
      <c r="L35" s="5">
        <f t="shared" si="44"/>
        <v>1</v>
      </c>
      <c r="M35" s="5">
        <f t="shared" si="44"/>
        <v>0</v>
      </c>
      <c r="N35" s="5">
        <f t="shared" si="44"/>
        <v>0</v>
      </c>
      <c r="O35" s="5">
        <f t="shared" si="44"/>
        <v>0</v>
      </c>
      <c r="P35" s="5">
        <f t="shared" si="44"/>
        <v>0</v>
      </c>
      <c r="Q35" s="5">
        <f t="shared" si="44"/>
        <v>0</v>
      </c>
      <c r="R35" s="5">
        <f t="shared" si="44"/>
        <v>0</v>
      </c>
      <c r="S35" s="5">
        <f t="shared" si="44"/>
        <v>0</v>
      </c>
      <c r="T35" s="5">
        <f t="shared" si="44"/>
        <v>0</v>
      </c>
      <c r="U35" s="9">
        <f t="shared" si="44"/>
        <v>0</v>
      </c>
      <c r="V35" s="5">
        <f t="shared" si="44"/>
        <v>0</v>
      </c>
      <c r="W35" s="5">
        <f t="shared" si="44"/>
        <v>0</v>
      </c>
      <c r="X35" s="5">
        <f>IF(Y36=".",Y35,IF(OR(Y36+Y37+Y35=2,Y35+Y36+Y37=3),1,0))</f>
        <v>0</v>
      </c>
      <c r="Y35" s="5">
        <v>0</v>
      </c>
    </row>
    <row r="36" spans="4:32" x14ac:dyDescent="0.35">
      <c r="E36" t="s">
        <v>51</v>
      </c>
      <c r="G36" t="str">
        <f>G5</f>
        <v>0</v>
      </c>
      <c r="H36" t="str">
        <f t="shared" ref="H36:Y36" si="45">H5</f>
        <v>0</v>
      </c>
      <c r="I36" t="str">
        <f t="shared" si="45"/>
        <v>1</v>
      </c>
      <c r="J36" t="str">
        <f t="shared" si="45"/>
        <v>1</v>
      </c>
      <c r="K36" t="str">
        <f t="shared" si="45"/>
        <v>.</v>
      </c>
      <c r="L36" t="str">
        <f t="shared" si="45"/>
        <v>1</v>
      </c>
      <c r="M36" t="str">
        <f t="shared" si="45"/>
        <v>1</v>
      </c>
      <c r="N36" t="str">
        <f t="shared" si="45"/>
        <v>1</v>
      </c>
      <c r="O36" t="str">
        <f t="shared" si="45"/>
        <v>0</v>
      </c>
      <c r="P36" t="str">
        <f t="shared" si="45"/>
        <v>.</v>
      </c>
      <c r="Q36" t="str">
        <f t="shared" si="45"/>
        <v>1</v>
      </c>
      <c r="R36" t="str">
        <f t="shared" si="45"/>
        <v>0</v>
      </c>
      <c r="S36" t="str">
        <f t="shared" si="45"/>
        <v>0</v>
      </c>
      <c r="T36" t="str">
        <f t="shared" si="45"/>
        <v>0</v>
      </c>
      <c r="U36" t="str">
        <f t="shared" si="45"/>
        <v>.</v>
      </c>
      <c r="V36" t="str">
        <f t="shared" si="45"/>
        <v>0</v>
      </c>
      <c r="W36" t="str">
        <f t="shared" si="45"/>
        <v>0</v>
      </c>
      <c r="X36" t="str">
        <f t="shared" si="45"/>
        <v>0</v>
      </c>
      <c r="Y36" t="str">
        <f t="shared" si="45"/>
        <v>0</v>
      </c>
      <c r="AC36" t="s">
        <v>55</v>
      </c>
      <c r="AD36">
        <f>C5</f>
        <v>16000</v>
      </c>
    </row>
    <row r="37" spans="4:32" x14ac:dyDescent="0.35">
      <c r="D37" s="7" t="s">
        <v>48</v>
      </c>
      <c r="E37" t="s">
        <v>66</v>
      </c>
      <c r="G37" t="str">
        <f>G10</f>
        <v>1</v>
      </c>
      <c r="H37" t="str">
        <f t="shared" ref="H37:Y37" si="46">H10</f>
        <v>1</v>
      </c>
      <c r="I37" t="str">
        <f t="shared" si="46"/>
        <v>1</v>
      </c>
      <c r="J37" t="str">
        <f t="shared" si="46"/>
        <v>1</v>
      </c>
      <c r="K37" t="str">
        <f t="shared" si="46"/>
        <v>.</v>
      </c>
      <c r="L37" t="str">
        <f t="shared" si="46"/>
        <v>0</v>
      </c>
      <c r="M37" t="str">
        <f t="shared" si="46"/>
        <v>1</v>
      </c>
      <c r="N37" t="str">
        <f t="shared" si="46"/>
        <v>0</v>
      </c>
      <c r="O37" t="str">
        <f t="shared" si="46"/>
        <v>0</v>
      </c>
      <c r="P37" t="str">
        <f t="shared" si="46"/>
        <v>.</v>
      </c>
      <c r="Q37" t="str">
        <f t="shared" si="46"/>
        <v>0</v>
      </c>
      <c r="R37" t="str">
        <f t="shared" si="46"/>
        <v>1</v>
      </c>
      <c r="S37" t="str">
        <f t="shared" si="46"/>
        <v>0</v>
      </c>
      <c r="T37" t="str">
        <f t="shared" si="46"/>
        <v>0</v>
      </c>
      <c r="U37" t="str">
        <f t="shared" si="46"/>
        <v>.</v>
      </c>
      <c r="V37" t="str">
        <f t="shared" si="46"/>
        <v>1</v>
      </c>
      <c r="W37" t="str">
        <f t="shared" si="46"/>
        <v>0</v>
      </c>
      <c r="X37" t="str">
        <f t="shared" si="46"/>
        <v>0</v>
      </c>
      <c r="Y37" t="str">
        <f t="shared" si="46"/>
        <v>0</v>
      </c>
      <c r="AB37" s="7" t="s">
        <v>48</v>
      </c>
      <c r="AC37" t="s">
        <v>67</v>
      </c>
      <c r="AD37">
        <f>C10</f>
        <v>-3000</v>
      </c>
      <c r="AF37" t="str">
        <f>IF(W40=0,IF(AND(AA38=AD38,H40=0),$AG$2,$AG$4),IF(G38=0,$AG$5,$AG$3))</f>
        <v>Result is correct, Carry flag is not taken into account</v>
      </c>
    </row>
    <row r="38" spans="4:32" x14ac:dyDescent="0.35">
      <c r="D38" s="3"/>
      <c r="E38" s="3"/>
      <c r="F38" s="3"/>
      <c r="G38" s="6">
        <f t="shared" ref="G38" si="47">IF(G36=".",".",IF(OR(G36+G37+G35=2,G35+G36+G37=0),0,1))</f>
        <v>0</v>
      </c>
      <c r="H38" s="6">
        <f t="shared" ref="H38" si="48">IF(H36=".",".",IF(OR(H36+H37+H35=2,H35+H36+H37=0),0,1))</f>
        <v>0</v>
      </c>
      <c r="I38" s="6">
        <f t="shared" ref="I38" si="49">IF(I36=".",".",IF(OR(I36+I37+I35=2,I35+I36+I37=0),0,1))</f>
        <v>1</v>
      </c>
      <c r="J38" s="6">
        <f t="shared" ref="J38" si="50">IF(J36=".",".",IF(OR(J36+J37+J35=2,J35+J36+J37=0),0,1))</f>
        <v>1</v>
      </c>
      <c r="K38" s="6" t="str">
        <f t="shared" ref="K38" si="51">IF(K36=".",".",IF(OR(K36+K37+K35=2,K35+K36+K37=0),0,1))</f>
        <v>.</v>
      </c>
      <c r="L38" s="6">
        <f t="shared" ref="L38" si="52">IF(L36=".",".",IF(OR(L36+L37+L35=2,L35+L36+L37=0),0,1))</f>
        <v>0</v>
      </c>
      <c r="M38" s="6">
        <f t="shared" ref="M38" si="53">IF(M36=".",".",IF(OR(M36+M37+M35=2,M35+M36+M37=0),0,1))</f>
        <v>0</v>
      </c>
      <c r="N38" s="6">
        <f t="shared" ref="N38" si="54">IF(N36=".",".",IF(OR(N36+N37+N35=2,N35+N36+N37=0),0,1))</f>
        <v>1</v>
      </c>
      <c r="O38" s="6">
        <f t="shared" ref="O38" si="55">IF(O36=".",".",IF(OR(O36+O37+O35=2,O35+O36+O37=0),0,1))</f>
        <v>0</v>
      </c>
      <c r="P38" s="6" t="str">
        <f t="shared" ref="P38" si="56">IF(P36=".",".",IF(OR(P36+P37+P35=2,P35+P36+P37=0),0,1))</f>
        <v>.</v>
      </c>
      <c r="Q38" s="6">
        <f t="shared" ref="Q38" si="57">IF(Q36=".",".",IF(OR(Q36+Q37+Q35=2,Q35+Q36+Q37=0),0,1))</f>
        <v>1</v>
      </c>
      <c r="R38" s="6">
        <f t="shared" ref="R38" si="58">IF(R36=".",".",IF(OR(R36+R37+R35=2,R35+R36+R37=0),0,1))</f>
        <v>1</v>
      </c>
      <c r="S38" s="6">
        <f t="shared" ref="S38" si="59">IF(S36=".",".",IF(OR(S36+S37+S35=2,S35+S36+S37=0),0,1))</f>
        <v>0</v>
      </c>
      <c r="T38" s="6">
        <f t="shared" ref="T38" si="60">IF(T36=".",".",IF(OR(T36+T37+T35=2,T35+T36+T37=0),0,1))</f>
        <v>0</v>
      </c>
      <c r="U38" s="6" t="str">
        <f t="shared" ref="U38" si="61">IF(U36=".",".",IF(OR(U36+U37+U35=2,U35+U36+U37=0),0,1))</f>
        <v>.</v>
      </c>
      <c r="V38" s="6">
        <f t="shared" ref="V38" si="62">IF(V36=".",".",IF(OR(V36+V37+V35=2,V35+V36+V37=0),0,1))</f>
        <v>1</v>
      </c>
      <c r="W38" s="6">
        <f t="shared" ref="W38" si="63">IF(W36=".",".",IF(OR(W36+W37+W35=2,W35+W36+W37=0),0,1))</f>
        <v>0</v>
      </c>
      <c r="X38" s="6">
        <f>IF(X36=".",".",IF(OR(X36+X37+X35=2,X35+X36+X37=0),0,1))</f>
        <v>0</v>
      </c>
      <c r="Y38" s="6">
        <f>IF(Y36=".",".",IF(OR(Y36+Y37=2,Y36+Y37=0),0,1))</f>
        <v>0</v>
      </c>
      <c r="Z38" s="7" t="s">
        <v>52</v>
      </c>
      <c r="AA38">
        <f>IF(G38=0,_xlfn.DECIMAL(G38&amp;H38&amp;I38&amp;J38&amp;L38&amp;M38&amp;N38&amp;O38&amp;Q38&amp;R38&amp;S38&amp;T38&amp;V38&amp;W38&amp;X38&amp;Y38,2),0-_xlfn.DECIMAL(H39&amp;I39&amp;J39&amp;L39&amp;M39&amp;N39&amp;O39&amp;Q39&amp;R39&amp;S39&amp;T39&amp;V39&amp;W39&amp;X39&amp;Y39,2))</f>
        <v>13000</v>
      </c>
      <c r="AB38" s="3"/>
      <c r="AC38" s="3"/>
      <c r="AD38" s="3">
        <f>AD36+AD37</f>
        <v>13000</v>
      </c>
    </row>
    <row r="39" spans="4:32" x14ac:dyDescent="0.35">
      <c r="E39" t="s">
        <v>60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7"/>
    </row>
    <row r="40" spans="4:32" x14ac:dyDescent="0.35">
      <c r="G40" t="s">
        <v>62</v>
      </c>
      <c r="H40">
        <f>G35</f>
        <v>1</v>
      </c>
      <c r="J40" t="s">
        <v>63</v>
      </c>
      <c r="K40">
        <f>MOD(SUM(G38:J38)+SUM(L38:O38)+SUM(Q38:T38)+SUM(V38:Y38)+1,2)</f>
        <v>1</v>
      </c>
      <c r="M40" s="10" t="s">
        <v>64</v>
      </c>
      <c r="N40">
        <f>U35</f>
        <v>0</v>
      </c>
      <c r="P40" t="s">
        <v>57</v>
      </c>
      <c r="Q40">
        <f>IF(AA38=0,1,0)</f>
        <v>0</v>
      </c>
      <c r="S40" t="s">
        <v>56</v>
      </c>
      <c r="T40">
        <f>G38</f>
        <v>0</v>
      </c>
      <c r="V40" t="s">
        <v>58</v>
      </c>
      <c r="W40">
        <f>IF(AND(G36="0",G37="0",G38=1),1,IF(AND(G36="1",G37="1",G38=0),1,0))</f>
        <v>0</v>
      </c>
    </row>
    <row r="44" spans="4:32" x14ac:dyDescent="0.35">
      <c r="G44" s="5">
        <f t="shared" ref="G44:W44" si="64">IF(H45=".",H44,IF(OR(H45+H46+H44=2,H44+H45+H46=3),1,0))</f>
        <v>1</v>
      </c>
      <c r="H44" s="5">
        <f t="shared" si="64"/>
        <v>0</v>
      </c>
      <c r="I44" s="5">
        <f t="shared" si="64"/>
        <v>0</v>
      </c>
      <c r="J44" s="5">
        <f t="shared" si="64"/>
        <v>0</v>
      </c>
      <c r="K44" s="5">
        <f t="shared" si="64"/>
        <v>0</v>
      </c>
      <c r="L44" s="5">
        <f t="shared" si="64"/>
        <v>0</v>
      </c>
      <c r="M44" s="5">
        <f t="shared" si="64"/>
        <v>0</v>
      </c>
      <c r="N44" s="5">
        <f t="shared" si="64"/>
        <v>0</v>
      </c>
      <c r="O44" s="5">
        <f t="shared" si="64"/>
        <v>0</v>
      </c>
      <c r="P44" s="8">
        <f>IF(Q45=".",Q44,IF(OR(Q45+Q46+Q44=2,Q44+Q45+Q46=3),1,0))</f>
        <v>0</v>
      </c>
      <c r="Q44" s="5">
        <f t="shared" si="64"/>
        <v>0</v>
      </c>
      <c r="R44" s="5">
        <f t="shared" si="64"/>
        <v>0</v>
      </c>
      <c r="S44" s="5">
        <f t="shared" si="64"/>
        <v>0</v>
      </c>
      <c r="T44" s="5">
        <f t="shared" si="64"/>
        <v>0</v>
      </c>
      <c r="U44" s="9">
        <f t="shared" si="64"/>
        <v>0</v>
      </c>
      <c r="V44" s="5">
        <f t="shared" si="64"/>
        <v>0</v>
      </c>
      <c r="W44" s="5">
        <f t="shared" si="64"/>
        <v>0</v>
      </c>
      <c r="X44" s="5">
        <f>IF(Y45=".",Y44,IF(OR(Y45+Y46+Y44=2,Y44+Y45+Y46=3),1,0))</f>
        <v>0</v>
      </c>
      <c r="Y44" s="5">
        <v>0</v>
      </c>
    </row>
    <row r="45" spans="4:32" x14ac:dyDescent="0.35">
      <c r="E45" t="s">
        <v>66</v>
      </c>
      <c r="G45" t="str">
        <f>G10</f>
        <v>1</v>
      </c>
      <c r="H45" t="str">
        <f t="shared" ref="H45:Y45" si="65">H10</f>
        <v>1</v>
      </c>
      <c r="I45" t="str">
        <f t="shared" si="65"/>
        <v>1</v>
      </c>
      <c r="J45" t="str">
        <f t="shared" si="65"/>
        <v>1</v>
      </c>
      <c r="K45" t="str">
        <f t="shared" si="65"/>
        <v>.</v>
      </c>
      <c r="L45" t="str">
        <f t="shared" si="65"/>
        <v>0</v>
      </c>
      <c r="M45" t="str">
        <f t="shared" si="65"/>
        <v>1</v>
      </c>
      <c r="N45" t="str">
        <f t="shared" si="65"/>
        <v>0</v>
      </c>
      <c r="O45" t="str">
        <f t="shared" si="65"/>
        <v>0</v>
      </c>
      <c r="P45" t="str">
        <f t="shared" si="65"/>
        <v>.</v>
      </c>
      <c r="Q45" t="str">
        <f t="shared" si="65"/>
        <v>0</v>
      </c>
      <c r="R45" t="str">
        <f t="shared" si="65"/>
        <v>1</v>
      </c>
      <c r="S45" t="str">
        <f t="shared" si="65"/>
        <v>0</v>
      </c>
      <c r="T45" t="str">
        <f t="shared" si="65"/>
        <v>0</v>
      </c>
      <c r="U45" t="str">
        <f t="shared" si="65"/>
        <v>.</v>
      </c>
      <c r="V45" t="str">
        <f t="shared" si="65"/>
        <v>1</v>
      </c>
      <c r="W45" t="str">
        <f t="shared" si="65"/>
        <v>0</v>
      </c>
      <c r="X45" t="str">
        <f t="shared" si="65"/>
        <v>0</v>
      </c>
      <c r="Y45" t="str">
        <f t="shared" si="65"/>
        <v>0</v>
      </c>
      <c r="AC45" t="s">
        <v>67</v>
      </c>
      <c r="AD45">
        <f>C10</f>
        <v>-3000</v>
      </c>
    </row>
    <row r="46" spans="4:32" x14ac:dyDescent="0.35">
      <c r="D46" s="7" t="s">
        <v>48</v>
      </c>
      <c r="E46" t="s">
        <v>69</v>
      </c>
      <c r="G46" t="str">
        <f>G11</f>
        <v>1</v>
      </c>
      <c r="H46" t="str">
        <f t="shared" ref="H46:X46" si="66">H11</f>
        <v>1</v>
      </c>
      <c r="I46" t="str">
        <f t="shared" si="66"/>
        <v>0</v>
      </c>
      <c r="J46" t="str">
        <f t="shared" si="66"/>
        <v>0</v>
      </c>
      <c r="K46" t="str">
        <f t="shared" si="66"/>
        <v>.</v>
      </c>
      <c r="L46" t="str">
        <f t="shared" si="66"/>
        <v>0</v>
      </c>
      <c r="M46" t="str">
        <f t="shared" si="66"/>
        <v>0</v>
      </c>
      <c r="N46" t="str">
        <f t="shared" si="66"/>
        <v>0</v>
      </c>
      <c r="O46" t="str">
        <f t="shared" si="66"/>
        <v>1</v>
      </c>
      <c r="P46" t="str">
        <f t="shared" si="66"/>
        <v>.</v>
      </c>
      <c r="Q46" t="str">
        <f t="shared" si="66"/>
        <v>1</v>
      </c>
      <c r="R46" t="str">
        <f t="shared" si="66"/>
        <v>0</v>
      </c>
      <c r="S46" t="str">
        <f t="shared" si="66"/>
        <v>0</v>
      </c>
      <c r="T46" t="str">
        <f t="shared" si="66"/>
        <v>0</v>
      </c>
      <c r="U46" t="str">
        <f t="shared" si="66"/>
        <v>.</v>
      </c>
      <c r="V46" t="str">
        <f t="shared" si="66"/>
        <v>0</v>
      </c>
      <c r="W46" t="str">
        <f t="shared" si="66"/>
        <v>0</v>
      </c>
      <c r="X46" t="str">
        <f t="shared" si="66"/>
        <v>0</v>
      </c>
      <c r="Y46" t="str">
        <f>Y11</f>
        <v>0</v>
      </c>
      <c r="AB46" s="7" t="s">
        <v>48</v>
      </c>
      <c r="AC46" t="s">
        <v>70</v>
      </c>
      <c r="AD46">
        <f>C11</f>
        <v>-16000</v>
      </c>
      <c r="AF46" t="str">
        <f>IF(W49=0,IF(AND(AA47=AD47,H49=0),$AG$2,$AG$4),IF(G47=0,$AG$5,$AG$3))</f>
        <v>Result is correct, Carry flag is not taken into account</v>
      </c>
    </row>
    <row r="47" spans="4:32" x14ac:dyDescent="0.35">
      <c r="D47" s="3"/>
      <c r="E47" s="3"/>
      <c r="F47" s="3"/>
      <c r="G47" s="6">
        <f t="shared" ref="G47" si="67">IF(G45=".",".",IF(OR(G45+G46+G44=2,G44+G45+G46=0),0,1))</f>
        <v>1</v>
      </c>
      <c r="H47" s="6">
        <f t="shared" ref="H47" si="68">IF(H45=".",".",IF(OR(H45+H46+H44=2,H44+H45+H46=0),0,1))</f>
        <v>0</v>
      </c>
      <c r="I47" s="6">
        <f t="shared" ref="I47" si="69">IF(I45=".",".",IF(OR(I45+I46+I44=2,I44+I45+I46=0),0,1))</f>
        <v>1</v>
      </c>
      <c r="J47" s="6">
        <f t="shared" ref="J47" si="70">IF(J45=".",".",IF(OR(J45+J46+J44=2,J44+J45+J46=0),0,1))</f>
        <v>1</v>
      </c>
      <c r="K47" s="6" t="str">
        <f t="shared" ref="K47" si="71">IF(K45=".",".",IF(OR(K45+K46+K44=2,K44+K45+K46=0),0,1))</f>
        <v>.</v>
      </c>
      <c r="L47" s="6">
        <f t="shared" ref="L47" si="72">IF(L45=".",".",IF(OR(L45+L46+L44=2,L44+L45+L46=0),0,1))</f>
        <v>0</v>
      </c>
      <c r="M47" s="6">
        <f t="shared" ref="M47" si="73">IF(M45=".",".",IF(OR(M45+M46+M44=2,M44+M45+M46=0),0,1))</f>
        <v>1</v>
      </c>
      <c r="N47" s="6">
        <f t="shared" ref="N47" si="74">IF(N45=".",".",IF(OR(N45+N46+N44=2,N44+N45+N46=0),0,1))</f>
        <v>0</v>
      </c>
      <c r="O47" s="6">
        <f t="shared" ref="O47" si="75">IF(O45=".",".",IF(OR(O45+O46+O44=2,O44+O45+O46=0),0,1))</f>
        <v>1</v>
      </c>
      <c r="P47" s="6" t="str">
        <f t="shared" ref="P47" si="76">IF(P45=".",".",IF(OR(P45+P46+P44=2,P44+P45+P46=0),0,1))</f>
        <v>.</v>
      </c>
      <c r="Q47" s="6">
        <f t="shared" ref="Q47" si="77">IF(Q45=".",".",IF(OR(Q45+Q46+Q44=2,Q44+Q45+Q46=0),0,1))</f>
        <v>1</v>
      </c>
      <c r="R47" s="6">
        <f t="shared" ref="R47" si="78">IF(R45=".",".",IF(OR(R45+R46+R44=2,R44+R45+R46=0),0,1))</f>
        <v>1</v>
      </c>
      <c r="S47" s="6">
        <f t="shared" ref="S47" si="79">IF(S45=".",".",IF(OR(S45+S46+S44=2,S44+S45+S46=0),0,1))</f>
        <v>0</v>
      </c>
      <c r="T47" s="6">
        <f t="shared" ref="T47" si="80">IF(T45=".",".",IF(OR(T45+T46+T44=2,T44+T45+T46=0),0,1))</f>
        <v>0</v>
      </c>
      <c r="U47" s="6" t="str">
        <f t="shared" ref="U47" si="81">IF(U45=".",".",IF(OR(U45+U46+U44=2,U44+U45+U46=0),0,1))</f>
        <v>.</v>
      </c>
      <c r="V47" s="6">
        <f t="shared" ref="V47" si="82">IF(V45=".",".",IF(OR(V45+V46+V44=2,V44+V45+V46=0),0,1))</f>
        <v>1</v>
      </c>
      <c r="W47" s="6">
        <f t="shared" ref="W47" si="83">IF(W45=".",".",IF(OR(W45+W46+W44=2,W44+W45+W46=0),0,1))</f>
        <v>0</v>
      </c>
      <c r="X47" s="6">
        <f>IF(X45=".",".",IF(OR(X45+X46+X44=2,X44+X45+X46=0),0,1))</f>
        <v>0</v>
      </c>
      <c r="Y47" s="6">
        <f>IF(Y45=".",".",IF(OR(Y45+Y46=2,Y45+Y46=0),0,1))</f>
        <v>0</v>
      </c>
      <c r="Z47" s="7" t="s">
        <v>52</v>
      </c>
      <c r="AA47">
        <f>IF(G47=0,_xlfn.DECIMAL(G47&amp;H47&amp;I47&amp;J47&amp;L47&amp;M47&amp;N47&amp;O47&amp;Q47&amp;R47&amp;S47&amp;T47&amp;V47&amp;W47&amp;X47&amp;Y47,2),0-_xlfn.DECIMAL(H48&amp;I48&amp;J48&amp;L48&amp;M48&amp;N48&amp;O48&amp;Q48&amp;R48&amp;S48&amp;T48&amp;V48&amp;W48&amp;X48&amp;Y48,2))</f>
        <v>-18999</v>
      </c>
      <c r="AB47" s="3"/>
      <c r="AC47" s="3"/>
      <c r="AD47" s="3">
        <f>AD45+AD46</f>
        <v>-19000</v>
      </c>
    </row>
    <row r="48" spans="4:32" x14ac:dyDescent="0.35">
      <c r="E48" t="s">
        <v>60</v>
      </c>
      <c r="G48" s="4">
        <f>IF(G47=0,0,1)</f>
        <v>1</v>
      </c>
      <c r="H48" s="4">
        <f>IF(H47=".",".",IF(H47=1,0,1))</f>
        <v>1</v>
      </c>
      <c r="I48" s="4">
        <f t="shared" ref="I48" si="84">IF(I47=".",".",IF(I47=1,0,1))</f>
        <v>0</v>
      </c>
      <c r="J48" s="4">
        <f t="shared" ref="J48" si="85">IF(J47=".",".",IF(J47=1,0,1))</f>
        <v>0</v>
      </c>
      <c r="K48" s="4" t="str">
        <f t="shared" ref="K48" si="86">IF(K47=".",".",IF(K47=1,0,1))</f>
        <v>.</v>
      </c>
      <c r="L48" s="4">
        <f t="shared" ref="L48" si="87">IF(L47=".",".",IF(L47=1,0,1))</f>
        <v>1</v>
      </c>
      <c r="M48" s="4">
        <f t="shared" ref="M48" si="88">IF(M47=".",".",IF(M47=1,0,1))</f>
        <v>0</v>
      </c>
      <c r="N48" s="4">
        <f t="shared" ref="N48" si="89">IF(N47=".",".",IF(N47=1,0,1))</f>
        <v>1</v>
      </c>
      <c r="O48" s="4">
        <f t="shared" ref="O48" si="90">IF(O47=".",".",IF(O47=1,0,1))</f>
        <v>0</v>
      </c>
      <c r="P48" s="4" t="str">
        <f t="shared" ref="P48" si="91">IF(P47=".",".",IF(P47=1,0,1))</f>
        <v>.</v>
      </c>
      <c r="Q48" s="4">
        <f t="shared" ref="Q48" si="92">IF(Q47=".",".",IF(Q47=1,0,1))</f>
        <v>0</v>
      </c>
      <c r="R48" s="4">
        <f t="shared" ref="R48" si="93">IF(R47=".",".",IF(R47=1,0,1))</f>
        <v>0</v>
      </c>
      <c r="S48" s="4">
        <f t="shared" ref="S48" si="94">IF(S47=".",".",IF(S47=1,0,1))</f>
        <v>1</v>
      </c>
      <c r="T48" s="4">
        <f t="shared" ref="T48" si="95">IF(T47=".",".",IF(T47=1,0,1))</f>
        <v>1</v>
      </c>
      <c r="U48" s="4" t="str">
        <f t="shared" ref="U48" si="96">IF(U47=".",".",IF(U47=1,0,1))</f>
        <v>.</v>
      </c>
      <c r="V48" s="4">
        <f t="shared" ref="V48" si="97">IF(V47=".",".",IF(V47=1,0,1))</f>
        <v>0</v>
      </c>
      <c r="W48" s="4">
        <f t="shared" ref="W48" si="98">IF(W47=".",".",IF(W47=1,0,1))</f>
        <v>1</v>
      </c>
      <c r="X48" s="4">
        <f t="shared" ref="X48" si="99">IF(X47=".",".",IF(X47=1,0,1))</f>
        <v>1</v>
      </c>
      <c r="Y48" s="4">
        <f>1</f>
        <v>1</v>
      </c>
      <c r="Z48" s="7"/>
    </row>
    <row r="49" spans="4:32" x14ac:dyDescent="0.35">
      <c r="G49" t="s">
        <v>62</v>
      </c>
      <c r="H49">
        <f>G44</f>
        <v>1</v>
      </c>
      <c r="J49" t="s">
        <v>63</v>
      </c>
      <c r="K49">
        <f>MOD(SUM(G47:J47)+SUM(L47:O47)+SUM(Q47:T47)+SUM(V47:Y47)+1,2)</f>
        <v>1</v>
      </c>
      <c r="M49" s="10" t="s">
        <v>64</v>
      </c>
      <c r="N49">
        <f>U44</f>
        <v>0</v>
      </c>
      <c r="P49" t="s">
        <v>57</v>
      </c>
      <c r="Q49">
        <f>IF(AA47=0,1,0)</f>
        <v>0</v>
      </c>
      <c r="S49" t="s">
        <v>56</v>
      </c>
      <c r="T49">
        <f>G47</f>
        <v>1</v>
      </c>
      <c r="V49" t="s">
        <v>58</v>
      </c>
      <c r="W49">
        <f>IF(AND(G45="0",G46="0",G47=1),1,IF(AND(G45="1",G46="1",G47=0),1,0))</f>
        <v>0</v>
      </c>
    </row>
    <row r="53" spans="4:32" x14ac:dyDescent="0.35">
      <c r="G53" s="5">
        <f t="shared" ref="G53:O53" si="100">IF(H54=".",H53,IF(OR(H54+H55+H53=2,H53+H54+H55=3),1,0))</f>
        <v>0</v>
      </c>
      <c r="H53" s="5">
        <f t="shared" si="100"/>
        <v>0</v>
      </c>
      <c r="I53" s="5">
        <f t="shared" si="100"/>
        <v>0</v>
      </c>
      <c r="J53" s="5">
        <f t="shared" si="100"/>
        <v>0</v>
      </c>
      <c r="K53" s="5">
        <f t="shared" si="100"/>
        <v>0</v>
      </c>
      <c r="L53" s="5">
        <f t="shared" si="100"/>
        <v>0</v>
      </c>
      <c r="M53" s="5">
        <f t="shared" si="100"/>
        <v>0</v>
      </c>
      <c r="N53" s="5">
        <f t="shared" si="100"/>
        <v>1</v>
      </c>
      <c r="O53" s="5">
        <f t="shared" si="100"/>
        <v>1</v>
      </c>
      <c r="P53" s="8">
        <f>IF(Q54=".",Q53,IF(OR(Q54+Q55+Q53=2,Q53+Q54+Q55=3),1,0))</f>
        <v>1</v>
      </c>
      <c r="Q53" s="5">
        <f t="shared" ref="Q53:W53" si="101">IF(R54=".",R53,IF(OR(R54+R55+R53=2,R53+R54+R55=3),1,0))</f>
        <v>0</v>
      </c>
      <c r="R53" s="5">
        <f t="shared" si="101"/>
        <v>0</v>
      </c>
      <c r="S53" s="5">
        <f t="shared" si="101"/>
        <v>0</v>
      </c>
      <c r="T53" s="5">
        <f t="shared" si="101"/>
        <v>0</v>
      </c>
      <c r="U53" s="9">
        <f t="shared" si="101"/>
        <v>0</v>
      </c>
      <c r="V53" s="5">
        <f t="shared" si="101"/>
        <v>0</v>
      </c>
      <c r="W53" s="5">
        <f t="shared" si="101"/>
        <v>0</v>
      </c>
      <c r="X53" s="5">
        <f>IF(Y54=".",Y53,IF(OR(Y54+Y55+Y53=2,Y53+Y54+Y55=3),1,0))</f>
        <v>0</v>
      </c>
      <c r="Y53" s="5">
        <v>0</v>
      </c>
    </row>
    <row r="54" spans="4:32" x14ac:dyDescent="0.35">
      <c r="E54" t="s">
        <v>69</v>
      </c>
      <c r="G54" t="str">
        <f>G11</f>
        <v>1</v>
      </c>
      <c r="H54" t="str">
        <f t="shared" ref="H54:Y54" si="102">H11</f>
        <v>1</v>
      </c>
      <c r="I54" t="str">
        <f t="shared" si="102"/>
        <v>0</v>
      </c>
      <c r="J54" t="str">
        <f t="shared" si="102"/>
        <v>0</v>
      </c>
      <c r="K54" t="str">
        <f t="shared" si="102"/>
        <v>.</v>
      </c>
      <c r="L54" t="str">
        <f t="shared" si="102"/>
        <v>0</v>
      </c>
      <c r="M54" t="str">
        <f t="shared" si="102"/>
        <v>0</v>
      </c>
      <c r="N54" t="str">
        <f t="shared" si="102"/>
        <v>0</v>
      </c>
      <c r="O54" t="str">
        <f t="shared" si="102"/>
        <v>1</v>
      </c>
      <c r="P54" t="str">
        <f t="shared" si="102"/>
        <v>.</v>
      </c>
      <c r="Q54" t="str">
        <f t="shared" si="102"/>
        <v>1</v>
      </c>
      <c r="R54" t="str">
        <f t="shared" si="102"/>
        <v>0</v>
      </c>
      <c r="S54" t="str">
        <f t="shared" si="102"/>
        <v>0</v>
      </c>
      <c r="T54" t="str">
        <f t="shared" si="102"/>
        <v>0</v>
      </c>
      <c r="U54" t="str">
        <f t="shared" si="102"/>
        <v>.</v>
      </c>
      <c r="V54" t="str">
        <f t="shared" si="102"/>
        <v>0</v>
      </c>
      <c r="W54" t="str">
        <f t="shared" si="102"/>
        <v>0</v>
      </c>
      <c r="X54" t="str">
        <f t="shared" si="102"/>
        <v>0</v>
      </c>
      <c r="Y54" t="str">
        <f t="shared" si="102"/>
        <v>0</v>
      </c>
      <c r="AC54" t="s">
        <v>70</v>
      </c>
      <c r="AD54">
        <f>C11</f>
        <v>-16000</v>
      </c>
    </row>
    <row r="55" spans="4:32" x14ac:dyDescent="0.35">
      <c r="D55" s="7" t="s">
        <v>48</v>
      </c>
      <c r="E55" t="s">
        <v>71</v>
      </c>
      <c r="G55" t="str">
        <f>G12</f>
        <v>1</v>
      </c>
      <c r="H55" t="str">
        <f t="shared" ref="H55:Y55" si="103">H12</f>
        <v>0</v>
      </c>
      <c r="I55" t="str">
        <f t="shared" si="103"/>
        <v>1</v>
      </c>
      <c r="J55" t="str">
        <f t="shared" si="103"/>
        <v>1</v>
      </c>
      <c r="K55" t="str">
        <f t="shared" si="103"/>
        <v>.</v>
      </c>
      <c r="L55" t="str">
        <f t="shared" si="103"/>
        <v>0</v>
      </c>
      <c r="M55" t="str">
        <f t="shared" si="103"/>
        <v>1</v>
      </c>
      <c r="N55" t="str">
        <f t="shared" si="103"/>
        <v>0</v>
      </c>
      <c r="O55" t="str">
        <f t="shared" si="103"/>
        <v>1</v>
      </c>
      <c r="P55" t="str">
        <f t="shared" si="103"/>
        <v>.</v>
      </c>
      <c r="Q55" t="str">
        <f t="shared" si="103"/>
        <v>1</v>
      </c>
      <c r="R55" t="str">
        <f t="shared" si="103"/>
        <v>1</v>
      </c>
      <c r="S55" t="str">
        <f t="shared" si="103"/>
        <v>0</v>
      </c>
      <c r="T55" t="str">
        <f t="shared" si="103"/>
        <v>0</v>
      </c>
      <c r="U55" t="str">
        <f t="shared" si="103"/>
        <v>.</v>
      </c>
      <c r="V55" t="str">
        <f t="shared" si="103"/>
        <v>1</v>
      </c>
      <c r="W55" t="str">
        <f t="shared" si="103"/>
        <v>0</v>
      </c>
      <c r="X55" t="str">
        <f t="shared" si="103"/>
        <v>0</v>
      </c>
      <c r="Y55" t="str">
        <f t="shared" si="103"/>
        <v>0</v>
      </c>
      <c r="AB55" s="7" t="s">
        <v>48</v>
      </c>
      <c r="AC55" t="s">
        <v>72</v>
      </c>
      <c r="AD55">
        <f>C12</f>
        <v>-19000</v>
      </c>
      <c r="AF55" t="str">
        <f>IF(W58=0,IF(AND(AA56=AD56,H58=0),$AG$2,$AG$4),IF(G56=0,$AG$5,$AG$3))</f>
        <v>Sum up of 2 negative numbers, create negative number.</v>
      </c>
    </row>
    <row r="56" spans="4:32" x14ac:dyDescent="0.35">
      <c r="D56" s="3"/>
      <c r="E56" s="3"/>
      <c r="F56" s="3"/>
      <c r="G56" s="6">
        <f t="shared" ref="G56" si="104">IF(G54=".",".",IF(OR(G54+G55+G53=2,G53+G54+G55=0),0,1))</f>
        <v>0</v>
      </c>
      <c r="H56" s="6">
        <f t="shared" ref="H56" si="105">IF(H54=".",".",IF(OR(H54+H55+H53=2,H53+H54+H55=0),0,1))</f>
        <v>1</v>
      </c>
      <c r="I56" s="6">
        <f t="shared" ref="I56" si="106">IF(I54=".",".",IF(OR(I54+I55+I53=2,I53+I54+I55=0),0,1))</f>
        <v>1</v>
      </c>
      <c r="J56" s="6">
        <f t="shared" ref="J56" si="107">IF(J54=".",".",IF(OR(J54+J55+J53=2,J53+J54+J55=0),0,1))</f>
        <v>1</v>
      </c>
      <c r="K56" s="6" t="str">
        <f t="shared" ref="K56" si="108">IF(K54=".",".",IF(OR(K54+K55+K53=2,K53+K54+K55=0),0,1))</f>
        <v>.</v>
      </c>
      <c r="L56" s="6">
        <f t="shared" ref="L56" si="109">IF(L54=".",".",IF(OR(L54+L55+L53=2,L53+L54+L55=0),0,1))</f>
        <v>0</v>
      </c>
      <c r="M56" s="6">
        <f t="shared" ref="M56" si="110">IF(M54=".",".",IF(OR(M54+M55+M53=2,M53+M54+M55=0),0,1))</f>
        <v>1</v>
      </c>
      <c r="N56" s="6">
        <f t="shared" ref="N56" si="111">IF(N54=".",".",IF(OR(N54+N55+N53=2,N53+N54+N55=0),0,1))</f>
        <v>1</v>
      </c>
      <c r="O56" s="6">
        <f t="shared" ref="O56" si="112">IF(O54=".",".",IF(OR(O54+O55+O53=2,O53+O54+O55=0),0,1))</f>
        <v>1</v>
      </c>
      <c r="P56" s="6" t="str">
        <f t="shared" ref="P56" si="113">IF(P54=".",".",IF(OR(P54+P55+P53=2,P53+P54+P55=0),0,1))</f>
        <v>.</v>
      </c>
      <c r="Q56" s="6">
        <f t="shared" ref="Q56" si="114">IF(Q54=".",".",IF(OR(Q54+Q55+Q53=2,Q53+Q54+Q55=0),0,1))</f>
        <v>0</v>
      </c>
      <c r="R56" s="6">
        <f t="shared" ref="R56" si="115">IF(R54=".",".",IF(OR(R54+R55+R53=2,R53+R54+R55=0),0,1))</f>
        <v>1</v>
      </c>
      <c r="S56" s="6">
        <f t="shared" ref="S56" si="116">IF(S54=".",".",IF(OR(S54+S55+S53=2,S53+S54+S55=0),0,1))</f>
        <v>0</v>
      </c>
      <c r="T56" s="6">
        <f t="shared" ref="T56" si="117">IF(T54=".",".",IF(OR(T54+T55+T53=2,T53+T54+T55=0),0,1))</f>
        <v>0</v>
      </c>
      <c r="U56" s="6" t="str">
        <f t="shared" ref="U56" si="118">IF(U54=".",".",IF(OR(U54+U55+U53=2,U53+U54+U55=0),0,1))</f>
        <v>.</v>
      </c>
      <c r="V56" s="6">
        <f t="shared" ref="V56" si="119">IF(V54=".",".",IF(OR(V54+V55+V53=2,V53+V54+V55=0),0,1))</f>
        <v>1</v>
      </c>
      <c r="W56" s="6">
        <f t="shared" ref="W56" si="120">IF(W54=".",".",IF(OR(W54+W55+W53=2,W53+W54+W55=0),0,1))</f>
        <v>0</v>
      </c>
      <c r="X56" s="6">
        <f>IF(X54=".",".",IF(OR(X54+X55+X53=2,X53+X54+X55=0),0,1))</f>
        <v>0</v>
      </c>
      <c r="Y56" s="6">
        <f>IF(Y54=".",".",IF(OR(Y54+Y55=2,Y54+Y55=0),0,1))</f>
        <v>0</v>
      </c>
      <c r="Z56" s="7" t="s">
        <v>52</v>
      </c>
      <c r="AA56">
        <f>IF(G56=0,_xlfn.DECIMAL(G56&amp;H56&amp;I56&amp;J56&amp;L56&amp;M56&amp;N56&amp;O56&amp;Q56&amp;R56&amp;S56&amp;T56&amp;V56&amp;W56&amp;X56&amp;Y56,2),0-_xlfn.DECIMAL(H57&amp;I57&amp;J57&amp;L57&amp;M57&amp;N57&amp;O57&amp;Q57&amp;R57&amp;S57&amp;T57&amp;V57&amp;W57&amp;X57&amp;Y57,2))</f>
        <v>30536</v>
      </c>
      <c r="AB56" s="3"/>
      <c r="AC56" s="3"/>
      <c r="AD56" s="3">
        <f>AD54+AD55</f>
        <v>-35000</v>
      </c>
    </row>
    <row r="57" spans="4:32" x14ac:dyDescent="0.35">
      <c r="E57" t="s">
        <v>60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7"/>
    </row>
    <row r="58" spans="4:32" x14ac:dyDescent="0.35">
      <c r="G58" t="s">
        <v>62</v>
      </c>
      <c r="H58">
        <f>G53</f>
        <v>0</v>
      </c>
      <c r="J58" t="s">
        <v>63</v>
      </c>
      <c r="K58">
        <f>MOD(SUM(G56:J56)+SUM(L56:O56)+SUM(Q56:T56)+SUM(V56:Y56)+1,2)</f>
        <v>1</v>
      </c>
      <c r="M58" s="10" t="s">
        <v>64</v>
      </c>
      <c r="N58">
        <f>U53</f>
        <v>0</v>
      </c>
      <c r="P58" t="s">
        <v>57</v>
      </c>
      <c r="Q58">
        <f>IF(AA56=0,1,0)</f>
        <v>0</v>
      </c>
      <c r="S58" t="s">
        <v>56</v>
      </c>
      <c r="T58">
        <f>G56</f>
        <v>0</v>
      </c>
      <c r="V58" t="s">
        <v>58</v>
      </c>
      <c r="W58">
        <f>IF(AND(G54="0",G55="0",G56=1),1,IF(AND(G54="1",G55="1",G56=0),1,0))</f>
        <v>1</v>
      </c>
    </row>
    <row r="62" spans="4:32" x14ac:dyDescent="0.35">
      <c r="G62" s="5">
        <f t="shared" ref="G62:O62" si="121">IF(H63=".",H62,IF(OR(H63+H64+H62=2,H62+H63+H64=3),1,0))</f>
        <v>0</v>
      </c>
      <c r="H62" s="5">
        <f t="shared" si="121"/>
        <v>0</v>
      </c>
      <c r="I62" s="5">
        <f t="shared" si="121"/>
        <v>0</v>
      </c>
      <c r="J62" s="5">
        <f t="shared" si="121"/>
        <v>0</v>
      </c>
      <c r="K62" s="5">
        <f t="shared" si="121"/>
        <v>0</v>
      </c>
      <c r="L62" s="5">
        <f t="shared" si="121"/>
        <v>0</v>
      </c>
      <c r="M62" s="5">
        <f t="shared" si="121"/>
        <v>1</v>
      </c>
      <c r="N62" s="5">
        <f t="shared" si="121"/>
        <v>1</v>
      </c>
      <c r="O62" s="5">
        <f t="shared" si="121"/>
        <v>1</v>
      </c>
      <c r="P62" s="8">
        <f>IF(Q63=".",Q62,IF(OR(Q63+Q64+Q62=2,Q62+Q63+Q64=3),1,0))</f>
        <v>1</v>
      </c>
      <c r="Q62" s="5">
        <f t="shared" ref="Q62:W62" si="122">IF(R63=".",R62,IF(OR(R63+R64+R62=2,R62+R63+R64=3),1,0))</f>
        <v>0</v>
      </c>
      <c r="R62" s="5">
        <f t="shared" si="122"/>
        <v>0</v>
      </c>
      <c r="S62" s="5">
        <f t="shared" si="122"/>
        <v>0</v>
      </c>
      <c r="T62" s="5">
        <f t="shared" si="122"/>
        <v>0</v>
      </c>
      <c r="U62" s="9">
        <f t="shared" si="122"/>
        <v>0</v>
      </c>
      <c r="V62" s="5">
        <f t="shared" si="122"/>
        <v>0</v>
      </c>
      <c r="W62" s="5">
        <f t="shared" si="122"/>
        <v>0</v>
      </c>
      <c r="X62" s="5">
        <f>IF(Y63=".",Y62,IF(OR(Y63+Y64+Y62=2,Y62+Y63+Y64=3),1,0))</f>
        <v>0</v>
      </c>
      <c r="Y62" s="5">
        <v>0</v>
      </c>
    </row>
    <row r="63" spans="4:32" x14ac:dyDescent="0.35">
      <c r="E63" t="s">
        <v>50</v>
      </c>
      <c r="G63" t="str">
        <f>G4</f>
        <v>0</v>
      </c>
      <c r="H63" t="str">
        <f t="shared" ref="H63:Y63" si="123">H4</f>
        <v>0</v>
      </c>
      <c r="I63" t="str">
        <f t="shared" si="123"/>
        <v>0</v>
      </c>
      <c r="J63" t="str">
        <f t="shared" si="123"/>
        <v>0</v>
      </c>
      <c r="K63" t="str">
        <f t="shared" si="123"/>
        <v>.</v>
      </c>
      <c r="L63" t="str">
        <f t="shared" si="123"/>
        <v>1</v>
      </c>
      <c r="M63" t="str">
        <f t="shared" si="123"/>
        <v>0</v>
      </c>
      <c r="N63" t="str">
        <f t="shared" si="123"/>
        <v>1</v>
      </c>
      <c r="O63" t="str">
        <f t="shared" si="123"/>
        <v>1</v>
      </c>
      <c r="P63" t="str">
        <f t="shared" si="123"/>
        <v>.</v>
      </c>
      <c r="Q63" t="str">
        <f t="shared" si="123"/>
        <v>1</v>
      </c>
      <c r="R63" t="str">
        <f t="shared" si="123"/>
        <v>0</v>
      </c>
      <c r="S63" t="str">
        <f t="shared" si="123"/>
        <v>1</v>
      </c>
      <c r="T63" t="str">
        <f t="shared" si="123"/>
        <v>1</v>
      </c>
      <c r="U63" t="str">
        <f t="shared" si="123"/>
        <v>.</v>
      </c>
      <c r="V63" t="str">
        <f t="shared" si="123"/>
        <v>1</v>
      </c>
      <c r="W63" t="str">
        <f t="shared" si="123"/>
        <v>0</v>
      </c>
      <c r="X63" t="str">
        <f t="shared" si="123"/>
        <v>0</v>
      </c>
      <c r="Y63" t="str">
        <f t="shared" si="123"/>
        <v>0</v>
      </c>
      <c r="AC63" t="s">
        <v>54</v>
      </c>
      <c r="AD63">
        <f>C4</f>
        <v>3000</v>
      </c>
    </row>
    <row r="64" spans="4:32" x14ac:dyDescent="0.35">
      <c r="D64" s="7" t="s">
        <v>48</v>
      </c>
      <c r="E64" t="s">
        <v>69</v>
      </c>
      <c r="G64" t="str">
        <f>G11</f>
        <v>1</v>
      </c>
      <c r="H64" t="str">
        <f t="shared" ref="H64:Y64" si="124">H11</f>
        <v>1</v>
      </c>
      <c r="I64" t="str">
        <f t="shared" si="124"/>
        <v>0</v>
      </c>
      <c r="J64" t="str">
        <f t="shared" si="124"/>
        <v>0</v>
      </c>
      <c r="K64" t="str">
        <f t="shared" si="124"/>
        <v>.</v>
      </c>
      <c r="L64" t="str">
        <f t="shared" si="124"/>
        <v>0</v>
      </c>
      <c r="M64" t="str">
        <f t="shared" si="124"/>
        <v>0</v>
      </c>
      <c r="N64" t="str">
        <f t="shared" si="124"/>
        <v>0</v>
      </c>
      <c r="O64" t="str">
        <f t="shared" si="124"/>
        <v>1</v>
      </c>
      <c r="P64" t="str">
        <f t="shared" si="124"/>
        <v>.</v>
      </c>
      <c r="Q64" t="str">
        <f t="shared" si="124"/>
        <v>1</v>
      </c>
      <c r="R64" t="str">
        <f t="shared" si="124"/>
        <v>0</v>
      </c>
      <c r="S64" t="str">
        <f t="shared" si="124"/>
        <v>0</v>
      </c>
      <c r="T64" t="str">
        <f t="shared" si="124"/>
        <v>0</v>
      </c>
      <c r="U64" t="str">
        <f t="shared" si="124"/>
        <v>.</v>
      </c>
      <c r="V64" t="str">
        <f t="shared" si="124"/>
        <v>0</v>
      </c>
      <c r="W64" t="str">
        <f t="shared" si="124"/>
        <v>0</v>
      </c>
      <c r="X64" t="str">
        <f t="shared" si="124"/>
        <v>0</v>
      </c>
      <c r="Y64" t="str">
        <f t="shared" si="124"/>
        <v>0</v>
      </c>
      <c r="AB64" s="7" t="s">
        <v>48</v>
      </c>
      <c r="AC64" t="s">
        <v>70</v>
      </c>
      <c r="AD64">
        <f>C11</f>
        <v>-16000</v>
      </c>
      <c r="AF64" t="str">
        <f>IF(W67=0,IF(AND(AA65=AD65,H67=0),$AG$2,$AG$4),IF(G65=0,$AG$5,$AG$3))</f>
        <v>Result is correct, Carry flag is not taken into account</v>
      </c>
    </row>
    <row r="65" spans="4:32" x14ac:dyDescent="0.35">
      <c r="D65" s="3"/>
      <c r="E65" s="3"/>
      <c r="F65" s="3"/>
      <c r="G65" s="6">
        <f t="shared" ref="G65" si="125">IF(G63=".",".",IF(OR(G63+G64+G62=2,G62+G63+G64=0),0,1))</f>
        <v>1</v>
      </c>
      <c r="H65" s="6">
        <f t="shared" ref="H65" si="126">IF(H63=".",".",IF(OR(H63+H64+H62=2,H62+H63+H64=0),0,1))</f>
        <v>1</v>
      </c>
      <c r="I65" s="6">
        <f t="shared" ref="I65" si="127">IF(I63=".",".",IF(OR(I63+I64+I62=2,I62+I63+I64=0),0,1))</f>
        <v>0</v>
      </c>
      <c r="J65" s="6">
        <f t="shared" ref="J65" si="128">IF(J63=".",".",IF(OR(J63+J64+J62=2,J62+J63+J64=0),0,1))</f>
        <v>0</v>
      </c>
      <c r="K65" s="6" t="str">
        <f t="shared" ref="K65" si="129">IF(K63=".",".",IF(OR(K63+K64+K62=2,K62+K63+K64=0),0,1))</f>
        <v>.</v>
      </c>
      <c r="L65" s="6">
        <f t="shared" ref="L65" si="130">IF(L63=".",".",IF(OR(L63+L64+L62=2,L62+L63+L64=0),0,1))</f>
        <v>1</v>
      </c>
      <c r="M65" s="6">
        <f t="shared" ref="M65" si="131">IF(M63=".",".",IF(OR(M63+M64+M62=2,M62+M63+M64=0),0,1))</f>
        <v>1</v>
      </c>
      <c r="N65" s="6">
        <f t="shared" ref="N65" si="132">IF(N63=".",".",IF(OR(N63+N64+N62=2,N62+N63+N64=0),0,1))</f>
        <v>0</v>
      </c>
      <c r="O65" s="6">
        <f t="shared" ref="O65" si="133">IF(O63=".",".",IF(OR(O63+O64+O62=2,O62+O63+O64=0),0,1))</f>
        <v>1</v>
      </c>
      <c r="P65" s="6" t="str">
        <f t="shared" ref="P65" si="134">IF(P63=".",".",IF(OR(P63+P64+P62=2,P62+P63+P64=0),0,1))</f>
        <v>.</v>
      </c>
      <c r="Q65" s="6">
        <f t="shared" ref="Q65" si="135">IF(Q63=".",".",IF(OR(Q63+Q64+Q62=2,Q62+Q63+Q64=0),0,1))</f>
        <v>0</v>
      </c>
      <c r="R65" s="6">
        <f t="shared" ref="R65" si="136">IF(R63=".",".",IF(OR(R63+R64+R62=2,R62+R63+R64=0),0,1))</f>
        <v>0</v>
      </c>
      <c r="S65" s="6">
        <f t="shared" ref="S65" si="137">IF(S63=".",".",IF(OR(S63+S64+S62=2,S62+S63+S64=0),0,1))</f>
        <v>1</v>
      </c>
      <c r="T65" s="6">
        <f t="shared" ref="T65" si="138">IF(T63=".",".",IF(OR(T63+T64+T62=2,T62+T63+T64=0),0,1))</f>
        <v>1</v>
      </c>
      <c r="U65" s="6" t="str">
        <f t="shared" ref="U65" si="139">IF(U63=".",".",IF(OR(U63+U64+U62=2,U62+U63+U64=0),0,1))</f>
        <v>.</v>
      </c>
      <c r="V65" s="6">
        <f t="shared" ref="V65" si="140">IF(V63=".",".",IF(OR(V63+V64+V62=2,V62+V63+V64=0),0,1))</f>
        <v>1</v>
      </c>
      <c r="W65" s="6">
        <f t="shared" ref="W65" si="141">IF(W63=".",".",IF(OR(W63+W64+W62=2,W62+W63+W64=0),0,1))</f>
        <v>0</v>
      </c>
      <c r="X65" s="6">
        <f>IF(X63=".",".",IF(OR(X63+X64+X62=2,X62+X63+X64=0),0,1))</f>
        <v>0</v>
      </c>
      <c r="Y65" s="6">
        <f>IF(Y63=".",".",IF(OR(Y63+Y64=2,Y63+Y64=0),0,1))</f>
        <v>0</v>
      </c>
      <c r="Z65" s="7" t="s">
        <v>52</v>
      </c>
      <c r="AA65">
        <f>IF(G65=0,_xlfn.DECIMAL(G65&amp;H65&amp;I65&amp;J65&amp;L65&amp;M65&amp;N65&amp;O65&amp;Q65&amp;R65&amp;S65&amp;T65&amp;V65&amp;W65&amp;X65&amp;Y65,2),0-_xlfn.DECIMAL(H66&amp;I66&amp;J66&amp;L66&amp;M66&amp;N66&amp;O66&amp;Q66&amp;R66&amp;S66&amp;T66&amp;V66&amp;W66&amp;X66&amp;Y66,2))</f>
        <v>-12999</v>
      </c>
      <c r="AB65" s="3"/>
      <c r="AC65" s="3"/>
      <c r="AD65" s="3">
        <f>AD63+AD64</f>
        <v>-13000</v>
      </c>
    </row>
    <row r="66" spans="4:32" x14ac:dyDescent="0.35">
      <c r="E66" t="s">
        <v>60</v>
      </c>
      <c r="G66" s="4">
        <f>IF(G65=0,0,1)</f>
        <v>1</v>
      </c>
      <c r="H66" s="4">
        <f>IF(H65=".",".",IF(H65=1,0,1))</f>
        <v>0</v>
      </c>
      <c r="I66" s="4">
        <f t="shared" ref="I66" si="142">IF(I65=".",".",IF(I65=1,0,1))</f>
        <v>1</v>
      </c>
      <c r="J66" s="4">
        <f t="shared" ref="J66" si="143">IF(J65=".",".",IF(J65=1,0,1))</f>
        <v>1</v>
      </c>
      <c r="K66" s="4" t="str">
        <f t="shared" ref="K66" si="144">IF(K65=".",".",IF(K65=1,0,1))</f>
        <v>.</v>
      </c>
      <c r="L66" s="4">
        <f t="shared" ref="L66" si="145">IF(L65=".",".",IF(L65=1,0,1))</f>
        <v>0</v>
      </c>
      <c r="M66" s="4">
        <f t="shared" ref="M66" si="146">IF(M65=".",".",IF(M65=1,0,1))</f>
        <v>0</v>
      </c>
      <c r="N66" s="4">
        <f t="shared" ref="N66" si="147">IF(N65=".",".",IF(N65=1,0,1))</f>
        <v>1</v>
      </c>
      <c r="O66" s="4">
        <f t="shared" ref="O66" si="148">IF(O65=".",".",IF(O65=1,0,1))</f>
        <v>0</v>
      </c>
      <c r="P66" s="4" t="str">
        <f t="shared" ref="P66" si="149">IF(P65=".",".",IF(P65=1,0,1))</f>
        <v>.</v>
      </c>
      <c r="Q66" s="4">
        <f t="shared" ref="Q66" si="150">IF(Q65=".",".",IF(Q65=1,0,1))</f>
        <v>1</v>
      </c>
      <c r="R66" s="4">
        <f t="shared" ref="R66" si="151">IF(R65=".",".",IF(R65=1,0,1))</f>
        <v>1</v>
      </c>
      <c r="S66" s="4">
        <f t="shared" ref="S66" si="152">IF(S65=".",".",IF(S65=1,0,1))</f>
        <v>0</v>
      </c>
      <c r="T66" s="4">
        <f t="shared" ref="T66" si="153">IF(T65=".",".",IF(T65=1,0,1))</f>
        <v>0</v>
      </c>
      <c r="U66" s="4" t="str">
        <f t="shared" ref="U66" si="154">IF(U65=".",".",IF(U65=1,0,1))</f>
        <v>.</v>
      </c>
      <c r="V66" s="4">
        <f t="shared" ref="V66" si="155">IF(V65=".",".",IF(V65=1,0,1))</f>
        <v>0</v>
      </c>
      <c r="W66" s="4">
        <f t="shared" ref="W66" si="156">IF(W65=".",".",IF(W65=1,0,1))</f>
        <v>1</v>
      </c>
      <c r="X66" s="4">
        <f t="shared" ref="X66" si="157">IF(X65=".",".",IF(X65=1,0,1))</f>
        <v>1</v>
      </c>
      <c r="Y66" s="4">
        <f>1</f>
        <v>1</v>
      </c>
      <c r="Z66" s="7"/>
    </row>
    <row r="67" spans="4:32" x14ac:dyDescent="0.35">
      <c r="G67" t="s">
        <v>62</v>
      </c>
      <c r="H67">
        <f>G62</f>
        <v>0</v>
      </c>
      <c r="J67" t="s">
        <v>63</v>
      </c>
      <c r="K67">
        <f>MOD(SUM(G65:J65)+SUM(L65:O65)+SUM(Q65:T65)+SUM(V65:Y65)+1,2)</f>
        <v>1</v>
      </c>
      <c r="M67" s="10" t="s">
        <v>64</v>
      </c>
      <c r="N67">
        <f>U62</f>
        <v>0</v>
      </c>
      <c r="P67" t="s">
        <v>57</v>
      </c>
      <c r="Q67">
        <f>IF(AA65=0,1,0)</f>
        <v>0</v>
      </c>
      <c r="S67" t="s">
        <v>56</v>
      </c>
      <c r="T67">
        <f>G65</f>
        <v>1</v>
      </c>
      <c r="V67" t="s">
        <v>58</v>
      </c>
      <c r="W67">
        <f>IF(AND(G63="0",G64="0",G65=1),1,IF(AND(G63="1",G64="1",G65=0),1,0))</f>
        <v>0</v>
      </c>
    </row>
    <row r="71" spans="4:32" x14ac:dyDescent="0.35">
      <c r="G71" s="5">
        <f t="shared" ref="G71:O71" si="158">IF(H72=".",H71,IF(OR(H72+H73+H71=2,H71+H72+H73=3),1,0))</f>
        <v>1</v>
      </c>
      <c r="H71" s="5">
        <f t="shared" si="158"/>
        <v>0</v>
      </c>
      <c r="I71" s="5">
        <f t="shared" si="158"/>
        <v>0</v>
      </c>
      <c r="J71" s="5">
        <f t="shared" si="158"/>
        <v>1</v>
      </c>
      <c r="K71" s="5">
        <f t="shared" si="158"/>
        <v>1</v>
      </c>
      <c r="L71" s="5">
        <f t="shared" si="158"/>
        <v>0</v>
      </c>
      <c r="M71" s="5">
        <f t="shared" si="158"/>
        <v>0</v>
      </c>
      <c r="N71" s="5">
        <f t="shared" si="158"/>
        <v>0</v>
      </c>
      <c r="O71" s="5">
        <f t="shared" si="158"/>
        <v>0</v>
      </c>
      <c r="P71" s="8">
        <f>IF(Q72=".",Q71,IF(OR(Q72+Q73+Q71=2,Q71+Q72+Q73=3),1,0))</f>
        <v>0</v>
      </c>
      <c r="Q71" s="5">
        <f t="shared" ref="Q71:W71" si="159">IF(R72=".",R71,IF(OR(R72+R73+R71=2,R71+R72+R73=3),1,0))</f>
        <v>0</v>
      </c>
      <c r="R71" s="5">
        <f t="shared" si="159"/>
        <v>1</v>
      </c>
      <c r="S71" s="5">
        <f t="shared" si="159"/>
        <v>1</v>
      </c>
      <c r="T71" s="5">
        <f t="shared" si="159"/>
        <v>1</v>
      </c>
      <c r="U71" s="9">
        <f t="shared" si="159"/>
        <v>1</v>
      </c>
      <c r="V71" s="5">
        <f t="shared" si="159"/>
        <v>0</v>
      </c>
      <c r="W71" s="5">
        <f t="shared" si="159"/>
        <v>0</v>
      </c>
      <c r="X71" s="5">
        <f>IF(Y72=".",Y71,IF(OR(Y72+Y73+Y71=2,Y71+Y72+Y73=3),1,0))</f>
        <v>0</v>
      </c>
      <c r="Y71" s="5">
        <v>0</v>
      </c>
    </row>
    <row r="72" spans="4:32" x14ac:dyDescent="0.35">
      <c r="E72" t="s">
        <v>73</v>
      </c>
      <c r="G72" t="str">
        <f>G14</f>
        <v>1</v>
      </c>
      <c r="H72" t="str">
        <f t="shared" ref="H72:Y72" si="160">H14</f>
        <v>1</v>
      </c>
      <c r="I72" t="str">
        <f t="shared" si="160"/>
        <v>0</v>
      </c>
      <c r="J72" t="str">
        <f t="shared" si="160"/>
        <v>0</v>
      </c>
      <c r="K72" t="str">
        <f t="shared" si="160"/>
        <v>.</v>
      </c>
      <c r="L72" t="str">
        <f t="shared" si="160"/>
        <v>1</v>
      </c>
      <c r="M72" t="str">
        <f t="shared" si="160"/>
        <v>1</v>
      </c>
      <c r="N72" t="str">
        <f t="shared" si="160"/>
        <v>0</v>
      </c>
      <c r="O72" t="str">
        <f t="shared" si="160"/>
        <v>1</v>
      </c>
      <c r="P72" t="str">
        <f t="shared" si="160"/>
        <v>.</v>
      </c>
      <c r="Q72" t="str">
        <f t="shared" si="160"/>
        <v>0</v>
      </c>
      <c r="R72" t="str">
        <f t="shared" si="160"/>
        <v>0</v>
      </c>
      <c r="S72" t="str">
        <f t="shared" si="160"/>
        <v>1</v>
      </c>
      <c r="T72" t="str">
        <f t="shared" si="160"/>
        <v>1</v>
      </c>
      <c r="U72" t="str">
        <f t="shared" si="160"/>
        <v>.</v>
      </c>
      <c r="V72" t="str">
        <f t="shared" si="160"/>
        <v>1</v>
      </c>
      <c r="W72" t="str">
        <f t="shared" si="160"/>
        <v>0</v>
      </c>
      <c r="X72" t="str">
        <f t="shared" si="160"/>
        <v>0</v>
      </c>
      <c r="Y72" t="str">
        <f t="shared" si="160"/>
        <v>0</v>
      </c>
      <c r="AC72" t="s">
        <v>74</v>
      </c>
      <c r="AD72">
        <f>C14</f>
        <v>-13000</v>
      </c>
    </row>
    <row r="73" spans="4:32" x14ac:dyDescent="0.35">
      <c r="D73" s="7" t="s">
        <v>48</v>
      </c>
      <c r="E73" t="s">
        <v>59</v>
      </c>
      <c r="G73" t="str">
        <f>G6</f>
        <v>0</v>
      </c>
      <c r="H73" t="str">
        <f t="shared" ref="H73:Y73" si="161">H6</f>
        <v>1</v>
      </c>
      <c r="I73" t="str">
        <f t="shared" si="161"/>
        <v>0</v>
      </c>
      <c r="J73" t="str">
        <f t="shared" si="161"/>
        <v>0</v>
      </c>
      <c r="K73" t="str">
        <f t="shared" si="161"/>
        <v>.</v>
      </c>
      <c r="L73" t="str">
        <f t="shared" si="161"/>
        <v>1</v>
      </c>
      <c r="M73" t="str">
        <f t="shared" si="161"/>
        <v>0</v>
      </c>
      <c r="N73" t="str">
        <f t="shared" si="161"/>
        <v>1</v>
      </c>
      <c r="O73" t="str">
        <f t="shared" si="161"/>
        <v>0</v>
      </c>
      <c r="P73" t="str">
        <f t="shared" si="161"/>
        <v>.</v>
      </c>
      <c r="Q73" t="str">
        <f t="shared" si="161"/>
        <v>0</v>
      </c>
      <c r="R73" t="str">
        <f t="shared" si="161"/>
        <v>0</v>
      </c>
      <c r="S73" t="str">
        <f t="shared" si="161"/>
        <v>1</v>
      </c>
      <c r="T73" t="str">
        <f t="shared" si="161"/>
        <v>1</v>
      </c>
      <c r="U73" t="str">
        <f t="shared" si="161"/>
        <v>.</v>
      </c>
      <c r="V73" t="str">
        <f t="shared" si="161"/>
        <v>1</v>
      </c>
      <c r="W73" t="str">
        <f t="shared" si="161"/>
        <v>0</v>
      </c>
      <c r="X73" t="str">
        <f t="shared" si="161"/>
        <v>0</v>
      </c>
      <c r="Y73" t="str">
        <f t="shared" si="161"/>
        <v>0</v>
      </c>
      <c r="AB73" s="7" t="s">
        <v>48</v>
      </c>
      <c r="AC73" t="s">
        <v>61</v>
      </c>
      <c r="AD73">
        <f>C6</f>
        <v>19000</v>
      </c>
      <c r="AF73" t="str">
        <f>IF(W76=0,IF(AND(AA74=AD74,H76=0),$AG$2,$AG$4),IF(G74=0,$AG$5,$AG$3))</f>
        <v>Result is correct, Carry flag is not taken into account</v>
      </c>
    </row>
    <row r="74" spans="4:32" x14ac:dyDescent="0.35">
      <c r="D74" s="3"/>
      <c r="E74" s="3"/>
      <c r="F74" s="3"/>
      <c r="G74" s="6">
        <f t="shared" ref="G74" si="162">IF(G72=".",".",IF(OR(G72+G73+G71=2,G71+G72+G73=0),0,1))</f>
        <v>0</v>
      </c>
      <c r="H74" s="6">
        <f t="shared" ref="H74" si="163">IF(H72=".",".",IF(OR(H72+H73+H71=2,H71+H72+H73=0),0,1))</f>
        <v>0</v>
      </c>
      <c r="I74" s="6">
        <f t="shared" ref="I74" si="164">IF(I72=".",".",IF(OR(I72+I73+I71=2,I71+I72+I73=0),0,1))</f>
        <v>0</v>
      </c>
      <c r="J74" s="6">
        <f t="shared" ref="J74" si="165">IF(J72=".",".",IF(OR(J72+J73+J71=2,J71+J72+J73=0),0,1))</f>
        <v>1</v>
      </c>
      <c r="K74" s="6" t="str">
        <f t="shared" ref="K74" si="166">IF(K72=".",".",IF(OR(K72+K73+K71=2,K71+K72+K73=0),0,1))</f>
        <v>.</v>
      </c>
      <c r="L74" s="6">
        <f t="shared" ref="L74" si="167">IF(L72=".",".",IF(OR(L72+L73+L71=2,L71+L72+L73=0),0,1))</f>
        <v>0</v>
      </c>
      <c r="M74" s="6">
        <f t="shared" ref="M74" si="168">IF(M72=".",".",IF(OR(M72+M73+M71=2,M71+M72+M73=0),0,1))</f>
        <v>1</v>
      </c>
      <c r="N74" s="6">
        <f t="shared" ref="N74" si="169">IF(N72=".",".",IF(OR(N72+N73+N71=2,N71+N72+N73=0),0,1))</f>
        <v>1</v>
      </c>
      <c r="O74" s="6">
        <f t="shared" ref="O74" si="170">IF(O72=".",".",IF(OR(O72+O73+O71=2,O71+O72+O73=0),0,1))</f>
        <v>1</v>
      </c>
      <c r="P74" s="6" t="str">
        <f t="shared" ref="P74" si="171">IF(P72=".",".",IF(OR(P72+P73+P71=2,P71+P72+P73=0),0,1))</f>
        <v>.</v>
      </c>
      <c r="Q74" s="6">
        <f t="shared" ref="Q74" si="172">IF(Q72=".",".",IF(OR(Q72+Q73+Q71=2,Q71+Q72+Q73=0),0,1))</f>
        <v>0</v>
      </c>
      <c r="R74" s="6">
        <f t="shared" ref="R74" si="173">IF(R72=".",".",IF(OR(R72+R73+R71=2,R71+R72+R73=0),0,1))</f>
        <v>1</v>
      </c>
      <c r="S74" s="6">
        <f t="shared" ref="S74" si="174">IF(S72=".",".",IF(OR(S72+S73+S71=2,S71+S72+S73=0),0,1))</f>
        <v>1</v>
      </c>
      <c r="T74" s="6">
        <f t="shared" ref="T74" si="175">IF(T72=".",".",IF(OR(T72+T73+T71=2,T71+T72+T73=0),0,1))</f>
        <v>1</v>
      </c>
      <c r="U74" s="6" t="str">
        <f t="shared" ref="U74" si="176">IF(U72=".",".",IF(OR(U72+U73+U71=2,U71+U72+U73=0),0,1))</f>
        <v>.</v>
      </c>
      <c r="V74" s="6">
        <f t="shared" ref="V74" si="177">IF(V72=".",".",IF(OR(V72+V73+V71=2,V71+V72+V73=0),0,1))</f>
        <v>0</v>
      </c>
      <c r="W74" s="6">
        <f t="shared" ref="W74" si="178">IF(W72=".",".",IF(OR(W72+W73+W71=2,W71+W72+W73=0),0,1))</f>
        <v>0</v>
      </c>
      <c r="X74" s="6">
        <f>IF(X72=".",".",IF(OR(X72+X73+X71=2,X71+X72+X73=0),0,1))</f>
        <v>0</v>
      </c>
      <c r="Y74" s="6">
        <f>IF(Y72=".",".",IF(OR(Y72+Y73=2,Y72+Y73=0),0,1))</f>
        <v>0</v>
      </c>
      <c r="Z74" s="7" t="s">
        <v>52</v>
      </c>
      <c r="AA74">
        <f>IF(G74=0,_xlfn.DECIMAL(G74&amp;H74&amp;I74&amp;J74&amp;L74&amp;M74&amp;N74&amp;O74&amp;Q74&amp;R74&amp;S74&amp;T74&amp;V74&amp;W74&amp;X74&amp;Y74,2),0-_xlfn.DECIMAL(H75&amp;I75&amp;J75&amp;L75&amp;M75&amp;N75&amp;O75&amp;Q75&amp;R75&amp;S75&amp;T75&amp;V75&amp;W75&amp;X75&amp;Y75,2))</f>
        <v>6000</v>
      </c>
      <c r="AB74" s="3"/>
      <c r="AC74" s="3"/>
      <c r="AD74" s="3">
        <f>AD72+AD73</f>
        <v>6000</v>
      </c>
    </row>
    <row r="75" spans="4:32" x14ac:dyDescent="0.35">
      <c r="E75" t="s">
        <v>60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7"/>
    </row>
    <row r="76" spans="4:32" x14ac:dyDescent="0.35">
      <c r="G76" t="s">
        <v>62</v>
      </c>
      <c r="H76">
        <f>G71</f>
        <v>1</v>
      </c>
      <c r="J76" t="s">
        <v>63</v>
      </c>
      <c r="K76">
        <f>MOD(SUM(G74:J74)+SUM(L74:O74)+SUM(Q74:T74)+SUM(V74:Y74)+1,2)</f>
        <v>0</v>
      </c>
      <c r="M76" s="10" t="s">
        <v>64</v>
      </c>
      <c r="N76">
        <f>U71</f>
        <v>1</v>
      </c>
      <c r="P76" t="s">
        <v>57</v>
      </c>
      <c r="Q76">
        <f>IF(AA74=0,1,0)</f>
        <v>0</v>
      </c>
      <c r="S76" t="s">
        <v>56</v>
      </c>
      <c r="T76">
        <f>G74</f>
        <v>0</v>
      </c>
      <c r="V76" t="s">
        <v>58</v>
      </c>
      <c r="W76">
        <f>IF(AND(G72="0",G73="0",G74=1),1,IF(AND(G72="1",G73="1",G74=0),1,0))</f>
        <v>0</v>
      </c>
    </row>
    <row r="99" spans="37:37" x14ac:dyDescent="0.35">
      <c r="AK99" t="s">
        <v>45</v>
      </c>
    </row>
    <row r="100" spans="37:37" x14ac:dyDescent="0.35">
      <c r="AK100" t="s">
        <v>46</v>
      </c>
    </row>
    <row r="101" spans="37:37" x14ac:dyDescent="0.35">
      <c r="AK101" t="s">
        <v>47</v>
      </c>
    </row>
  </sheetData>
  <mergeCells count="1">
    <mergeCell ref="G1:Y2"/>
  </mergeCells>
  <pageMargins left="0.7" right="0.7" top="0.75" bottom="0.75" header="0.3" footer="0.3"/>
  <pageSetup paperSize="9" orientation="portrait" r:id="rId1"/>
  <headerFooter>
    <oddHeader>Hazırlayan: Hamza Yüksel &amp;D&amp;RSayfa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Hamza Yüksel</dc:creator>
  <cp:lastModifiedBy>Юксель Хамза</cp:lastModifiedBy>
  <dcterms:created xsi:type="dcterms:W3CDTF">2015-06-05T18:19:34Z</dcterms:created>
  <dcterms:modified xsi:type="dcterms:W3CDTF">2024-12-09T11:26:28Z</dcterms:modified>
</cp:coreProperties>
</file>