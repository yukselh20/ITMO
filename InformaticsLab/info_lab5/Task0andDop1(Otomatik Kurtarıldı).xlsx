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amza\Desktop\LABLAR\InformaticsLab\info_lab5\"/>
    </mc:Choice>
  </mc:AlternateContent>
  <xr:revisionPtr revIDLastSave="0" documentId="8_{E11052A4-A161-42B1-825A-173097BD33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  <sheet name="Sayfa1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3" i="1" l="1"/>
  <c r="AD72" i="1"/>
  <c r="AD74" i="1" s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X71" i="1" s="1"/>
  <c r="G73" i="1"/>
  <c r="G72" i="1"/>
  <c r="Y75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AD64" i="1"/>
  <c r="AD65" i="1" s="1"/>
  <c r="AD63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X62" i="1" s="1"/>
  <c r="G64" i="1"/>
  <c r="G63" i="1"/>
  <c r="AD55" i="1"/>
  <c r="AD56" i="1" s="1"/>
  <c r="AD54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G55" i="1"/>
  <c r="G54" i="1"/>
  <c r="P44" i="1"/>
  <c r="AD46" i="1"/>
  <c r="AD45" i="1"/>
  <c r="Y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G46" i="1"/>
  <c r="G45" i="1"/>
  <c r="Y48" i="1"/>
  <c r="AD47" i="1"/>
  <c r="AD37" i="1"/>
  <c r="AD36" i="1"/>
  <c r="AD38" i="1" s="1"/>
  <c r="AA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V35" i="1" s="1"/>
  <c r="X37" i="1"/>
  <c r="Y37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G37" i="1"/>
  <c r="G36" i="1"/>
  <c r="X35" i="1"/>
  <c r="W35" i="1"/>
  <c r="K23" i="1"/>
  <c r="H23" i="1"/>
  <c r="AD29" i="1"/>
  <c r="AD28" i="1"/>
  <c r="AD27" i="1"/>
  <c r="AA29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H28" i="1"/>
  <c r="G28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H27" i="1"/>
  <c r="G27" i="1"/>
  <c r="X26" i="1"/>
  <c r="AD20" i="1"/>
  <c r="AD19" i="1"/>
  <c r="AD18" i="1"/>
  <c r="AA20" i="1"/>
  <c r="W17" i="1"/>
  <c r="V17" i="1" s="1"/>
  <c r="U17" i="1" s="1"/>
  <c r="T17" i="1" s="1"/>
  <c r="S17" i="1" s="1"/>
  <c r="R17" i="1" s="1"/>
  <c r="Q17" i="1" s="1"/>
  <c r="P17" i="1" s="1"/>
  <c r="O17" i="1" s="1"/>
  <c r="N17" i="1" s="1"/>
  <c r="M17" i="1" s="1"/>
  <c r="L17" i="1" s="1"/>
  <c r="K17" i="1" s="1"/>
  <c r="J17" i="1" s="1"/>
  <c r="I17" i="1" s="1"/>
  <c r="H17" i="1" s="1"/>
  <c r="G17" i="1" s="1"/>
  <c r="X17" i="1"/>
  <c r="W20" i="1"/>
  <c r="K20" i="1"/>
  <c r="P20" i="1"/>
  <c r="U20" i="1"/>
  <c r="X20" i="1"/>
  <c r="Y20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G19" i="1"/>
  <c r="H19" i="1"/>
  <c r="I19" i="1"/>
  <c r="Y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I18" i="1"/>
  <c r="H18" i="1"/>
  <c r="G18" i="1"/>
  <c r="L4" i="1"/>
  <c r="G4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H4" i="1"/>
  <c r="I4" i="1"/>
  <c r="J4" i="1"/>
  <c r="K4" i="1"/>
  <c r="M4" i="1"/>
  <c r="N4" i="1"/>
  <c r="O4" i="1"/>
  <c r="P4" i="1"/>
  <c r="Q4" i="1"/>
  <c r="R4" i="1"/>
  <c r="S4" i="1"/>
  <c r="T4" i="1"/>
  <c r="U4" i="1"/>
  <c r="V4" i="1"/>
  <c r="W4" i="1"/>
  <c r="X4" i="1"/>
  <c r="Y4" i="1"/>
  <c r="W71" i="1" l="1"/>
  <c r="V71" i="1" s="1"/>
  <c r="U71" i="1" s="1"/>
  <c r="T71" i="1" s="1"/>
  <c r="K74" i="1"/>
  <c r="K75" i="1" s="1"/>
  <c r="P74" i="1"/>
  <c r="P75" i="1" s="1"/>
  <c r="U74" i="1"/>
  <c r="U75" i="1" s="1"/>
  <c r="X74" i="1"/>
  <c r="X75" i="1" s="1"/>
  <c r="Y74" i="1"/>
  <c r="W62" i="1"/>
  <c r="W65" i="1" s="1"/>
  <c r="V62" i="1"/>
  <c r="U62" i="1" s="1"/>
  <c r="T62" i="1" s="1"/>
  <c r="K65" i="1"/>
  <c r="P65" i="1"/>
  <c r="U65" i="1"/>
  <c r="X65" i="1"/>
  <c r="Y65" i="1"/>
  <c r="X53" i="1"/>
  <c r="W53" i="1" s="1"/>
  <c r="X56" i="1"/>
  <c r="V53" i="1"/>
  <c r="U53" i="1" s="1"/>
  <c r="T53" i="1" s="1"/>
  <c r="K56" i="1"/>
  <c r="P56" i="1"/>
  <c r="Y56" i="1"/>
  <c r="U56" i="1"/>
  <c r="V56" i="1"/>
  <c r="W56" i="1"/>
  <c r="X44" i="1"/>
  <c r="W44" i="1"/>
  <c r="V44" i="1" s="1"/>
  <c r="K47" i="1"/>
  <c r="K48" i="1" s="1"/>
  <c r="P47" i="1"/>
  <c r="P48" i="1" s="1"/>
  <c r="U47" i="1"/>
  <c r="U48" i="1" s="1"/>
  <c r="X47" i="1"/>
  <c r="X48" i="1" s="1"/>
  <c r="Y47" i="1"/>
  <c r="U35" i="1"/>
  <c r="T35" i="1" s="1"/>
  <c r="S35" i="1"/>
  <c r="R35" i="1" s="1"/>
  <c r="Q35" i="1" s="1"/>
  <c r="P35" i="1" s="1"/>
  <c r="O35" i="1"/>
  <c r="N35" i="1" s="1"/>
  <c r="M35" i="1" s="1"/>
  <c r="L35" i="1" s="1"/>
  <c r="K35" i="1" s="1"/>
  <c r="J35" i="1" s="1"/>
  <c r="I35" i="1" s="1"/>
  <c r="H35" i="1" s="1"/>
  <c r="G35" i="1" s="1"/>
  <c r="W26" i="1"/>
  <c r="V26" i="1" s="1"/>
  <c r="U26" i="1" s="1"/>
  <c r="T26" i="1" s="1"/>
  <c r="S26" i="1" s="1"/>
  <c r="R26" i="1" s="1"/>
  <c r="Q26" i="1" s="1"/>
  <c r="P26" i="1" s="1"/>
  <c r="O26" i="1" s="1"/>
  <c r="N26" i="1" s="1"/>
  <c r="M26" i="1" s="1"/>
  <c r="L26" i="1" s="1"/>
  <c r="K26" i="1" s="1"/>
  <c r="J26" i="1" s="1"/>
  <c r="I26" i="1" s="1"/>
  <c r="H26" i="1" s="1"/>
  <c r="G26" i="1" s="1"/>
  <c r="W74" i="1" l="1"/>
  <c r="W75" i="1" s="1"/>
  <c r="T74" i="1"/>
  <c r="T75" i="1" s="1"/>
  <c r="S71" i="1"/>
  <c r="V74" i="1"/>
  <c r="V75" i="1" s="1"/>
  <c r="T65" i="1"/>
  <c r="S62" i="1"/>
  <c r="V65" i="1"/>
  <c r="S53" i="1"/>
  <c r="T56" i="1"/>
  <c r="U44" i="1"/>
  <c r="T44" i="1" s="1"/>
  <c r="V47" i="1"/>
  <c r="V48" i="1" s="1"/>
  <c r="W47" i="1"/>
  <c r="W48" i="1" s="1"/>
  <c r="V20" i="1"/>
  <c r="R71" i="1" l="1"/>
  <c r="S74" i="1"/>
  <c r="S75" i="1" s="1"/>
  <c r="S65" i="1"/>
  <c r="R62" i="1"/>
  <c r="R53" i="1"/>
  <c r="S56" i="1"/>
  <c r="T47" i="1"/>
  <c r="T48" i="1" s="1"/>
  <c r="S44" i="1"/>
  <c r="T20" i="1"/>
  <c r="Q71" i="1" l="1"/>
  <c r="R74" i="1"/>
  <c r="R75" i="1" s="1"/>
  <c r="Q62" i="1"/>
  <c r="R65" i="1"/>
  <c r="Q53" i="1"/>
  <c r="R56" i="1"/>
  <c r="S47" i="1"/>
  <c r="S48" i="1" s="1"/>
  <c r="R44" i="1"/>
  <c r="S20" i="1"/>
  <c r="P71" i="1" l="1"/>
  <c r="O71" i="1" s="1"/>
  <c r="Q74" i="1"/>
  <c r="Q75" i="1" s="1"/>
  <c r="Q65" i="1"/>
  <c r="P62" i="1"/>
  <c r="O62" i="1" s="1"/>
  <c r="P53" i="1"/>
  <c r="O53" i="1" s="1"/>
  <c r="Q56" i="1"/>
  <c r="Q44" i="1"/>
  <c r="R47" i="1"/>
  <c r="R48" i="1" s="1"/>
  <c r="R20" i="1"/>
  <c r="N71" i="1" l="1"/>
  <c r="O74" i="1"/>
  <c r="O75" i="1" s="1"/>
  <c r="N62" i="1"/>
  <c r="O65" i="1"/>
  <c r="N53" i="1"/>
  <c r="O56" i="1"/>
  <c r="O44" i="1"/>
  <c r="Q47" i="1"/>
  <c r="Q48" i="1" s="1"/>
  <c r="Q20" i="1"/>
  <c r="M71" i="1" l="1"/>
  <c r="N74" i="1"/>
  <c r="N75" i="1" s="1"/>
  <c r="M62" i="1"/>
  <c r="N65" i="1"/>
  <c r="M53" i="1"/>
  <c r="N56" i="1"/>
  <c r="O47" i="1"/>
  <c r="O48" i="1" s="1"/>
  <c r="N44" i="1"/>
  <c r="O20" i="1"/>
  <c r="L71" i="1" l="1"/>
  <c r="M74" i="1"/>
  <c r="M75" i="1" s="1"/>
  <c r="L62" i="1"/>
  <c r="M65" i="1"/>
  <c r="M56" i="1"/>
  <c r="L53" i="1"/>
  <c r="M44" i="1"/>
  <c r="N47" i="1"/>
  <c r="N48" i="1" s="1"/>
  <c r="N20" i="1"/>
  <c r="K71" i="1" l="1"/>
  <c r="J71" i="1" s="1"/>
  <c r="L74" i="1"/>
  <c r="L75" i="1" s="1"/>
  <c r="K62" i="1"/>
  <c r="J62" i="1" s="1"/>
  <c r="L65" i="1"/>
  <c r="K53" i="1"/>
  <c r="J53" i="1" s="1"/>
  <c r="L56" i="1"/>
  <c r="L44" i="1"/>
  <c r="M47" i="1"/>
  <c r="M48" i="1" s="1"/>
  <c r="M20" i="1"/>
  <c r="I71" i="1" l="1"/>
  <c r="J74" i="1"/>
  <c r="J75" i="1" s="1"/>
  <c r="I62" i="1"/>
  <c r="J65" i="1"/>
  <c r="J56" i="1"/>
  <c r="I53" i="1"/>
  <c r="K44" i="1"/>
  <c r="J44" i="1" s="1"/>
  <c r="L47" i="1"/>
  <c r="L48" i="1" s="1"/>
  <c r="L20" i="1"/>
  <c r="H71" i="1" l="1"/>
  <c r="I74" i="1"/>
  <c r="I75" i="1" s="1"/>
  <c r="H62" i="1"/>
  <c r="I65" i="1"/>
  <c r="H53" i="1"/>
  <c r="I56" i="1"/>
  <c r="J47" i="1"/>
  <c r="J48" i="1" s="1"/>
  <c r="I44" i="1"/>
  <c r="J20" i="1"/>
  <c r="G71" i="1" l="1"/>
  <c r="G74" i="1" s="1"/>
  <c r="H74" i="1"/>
  <c r="H75" i="1" s="1"/>
  <c r="G62" i="1"/>
  <c r="G65" i="1" s="1"/>
  <c r="H65" i="1"/>
  <c r="AA65" i="1" s="1"/>
  <c r="H56" i="1"/>
  <c r="G53" i="1"/>
  <c r="G56" i="1" s="1"/>
  <c r="I47" i="1"/>
  <c r="I48" i="1" s="1"/>
  <c r="H44" i="1"/>
  <c r="I20" i="1"/>
  <c r="AA74" i="1" l="1"/>
  <c r="G75" i="1"/>
  <c r="AA56" i="1"/>
  <c r="G44" i="1"/>
  <c r="G47" i="1" s="1"/>
  <c r="H47" i="1"/>
  <c r="H48" i="1" s="1"/>
  <c r="H20" i="1"/>
  <c r="G20" i="1"/>
  <c r="AA47" i="1" l="1"/>
  <c r="G48" i="1"/>
  <c r="C12" i="1" l="1"/>
  <c r="C13" i="1"/>
  <c r="C14" i="1"/>
  <c r="C15" i="1"/>
  <c r="C11" i="1"/>
  <c r="C10" i="1"/>
  <c r="C9" i="1"/>
  <c r="C8" i="1"/>
  <c r="C7" i="1"/>
  <c r="C6" i="1"/>
  <c r="C5" i="1"/>
  <c r="C4" i="1"/>
  <c r="C2" i="1"/>
  <c r="C1" i="1"/>
</calcChain>
</file>

<file path=xl/sharedStrings.xml><?xml version="1.0" encoding="utf-8"?>
<sst xmlns="http://schemas.openxmlformats.org/spreadsheetml/2006/main" count="155" uniqueCount="89">
  <si>
    <t>X1 =</t>
  </si>
  <si>
    <t>A=</t>
  </si>
  <si>
    <t xml:space="preserve"> </t>
  </si>
  <si>
    <t xml:space="preserve">C= </t>
  </si>
  <si>
    <t>A =</t>
  </si>
  <si>
    <t>C =</t>
  </si>
  <si>
    <t>A + C =</t>
  </si>
  <si>
    <t>A + C + C =</t>
  </si>
  <si>
    <t>C - A =</t>
  </si>
  <si>
    <t>65536 - X4 =</t>
  </si>
  <si>
    <t>-X1 =</t>
  </si>
  <si>
    <t xml:space="preserve">-X2 = </t>
  </si>
  <si>
    <t xml:space="preserve">-X3 = </t>
  </si>
  <si>
    <t xml:space="preserve">-X4 = </t>
  </si>
  <si>
    <t>-X5 =</t>
  </si>
  <si>
    <t xml:space="preserve">-X6 = </t>
  </si>
  <si>
    <t>X2 =</t>
  </si>
  <si>
    <t>X3 =</t>
  </si>
  <si>
    <t>X4 =</t>
  </si>
  <si>
    <t>X5 =</t>
  </si>
  <si>
    <t>X6 =</t>
  </si>
  <si>
    <t>X7 =</t>
  </si>
  <si>
    <t xml:space="preserve">X8 = </t>
  </si>
  <si>
    <t xml:space="preserve">X9 = </t>
  </si>
  <si>
    <t xml:space="preserve">X10 = </t>
  </si>
  <si>
    <t>X11 =</t>
  </si>
  <si>
    <t>X12 =</t>
  </si>
  <si>
    <t>B2=</t>
  </si>
  <si>
    <t>B3=</t>
  </si>
  <si>
    <t>B12=</t>
  </si>
  <si>
    <t xml:space="preserve">B11= </t>
  </si>
  <si>
    <t>B10=</t>
  </si>
  <si>
    <t>B4=</t>
  </si>
  <si>
    <t>B5=</t>
  </si>
  <si>
    <t>B6=</t>
  </si>
  <si>
    <t>B7=</t>
  </si>
  <si>
    <t>B8=</t>
  </si>
  <si>
    <t>B9=</t>
  </si>
  <si>
    <t>B1=</t>
  </si>
  <si>
    <t>-B1 =</t>
  </si>
  <si>
    <t>-B2 =</t>
  </si>
  <si>
    <t>-B3 =</t>
  </si>
  <si>
    <t>-B4 =</t>
  </si>
  <si>
    <t>-B5 =</t>
  </si>
  <si>
    <t>-B6 =</t>
  </si>
  <si>
    <t>Parça al = PARÇAAL(metin; başlangıç_no; karakter_sayısı). Her bit ilerleyişinde mutlak değerden çıkan sayı 1 2 3 4… seklinde gider. Ve mutlak deeğer sonucu başlangıç no suna eşittir. 15 - 16 == 1. karatere denk gelir. Ve karakter sayısı == 1 olduğu için 1. karakterden itibaren 1 parçayı ekler. mutlak değer 11-16 == 4 ise 4. karakterden sonrsaında 1 karakterlik ekleme yapar. Eklemek için kullandığı veri metin olarak girilen değerdir.</t>
  </si>
  <si>
    <t>Negatif sayılar için, 2's complement (ikinin tümleyeni) yöntemi kullanılır. Bunun anlamı:Sayıya 2^16 (65536) eklenir.Bu işlem, negatif sayıyı 16 bitlik bir pozitif ikili sayı gibi gösterir.</t>
  </si>
  <si>
    <t>İçteki EĞER Fonksiyonu EĞER($C4&gt;0; TABAN($C4;2;16); TABAN($C4+2^16;2;16)) EĞER($C4 &gt; 0) Eğer $C4'teki sayı pozitifse: TABAN($C4; 2; 16) TABAN: Sayıyı ikili (2 tabanı) bir formata çevirir ve 16 bitlik bir çıktı üretir. Örneğin, 3943 için sonuç 0000111101100111 olacaktır.</t>
  </si>
  <si>
    <t>+</t>
  </si>
  <si>
    <t>bits</t>
  </si>
  <si>
    <t>B1(2)</t>
  </si>
  <si>
    <t>B2(2)</t>
  </si>
  <si>
    <t>=</t>
  </si>
  <si>
    <t>Two's Complement :</t>
  </si>
  <si>
    <t>X1(10)</t>
  </si>
  <si>
    <t>X2(10)</t>
  </si>
  <si>
    <t>CF=0</t>
  </si>
  <si>
    <t>SF=0</t>
  </si>
  <si>
    <t>PF=1</t>
  </si>
  <si>
    <t>AF=0</t>
  </si>
  <si>
    <t>ZF=0</t>
  </si>
  <si>
    <t>OF=0</t>
  </si>
  <si>
    <t>B3(2)</t>
  </si>
  <si>
    <t>Two's Complement:</t>
  </si>
  <si>
    <t>X3(10)</t>
  </si>
  <si>
    <t>CF=</t>
  </si>
  <si>
    <t>PF=</t>
  </si>
  <si>
    <t>AF=</t>
  </si>
  <si>
    <t xml:space="preserve">Sum of two positive numbers cannot be negative. Result uncorrect. </t>
  </si>
  <si>
    <t>Result is correct.</t>
  </si>
  <si>
    <t>PF=0</t>
  </si>
  <si>
    <t>SF= 1</t>
  </si>
  <si>
    <t>OF=1</t>
  </si>
  <si>
    <t>B7(2)</t>
  </si>
  <si>
    <t>X7(10)</t>
  </si>
  <si>
    <t>CF=1</t>
  </si>
  <si>
    <t>Result is correct, Carry flag is not taken into account</t>
  </si>
  <si>
    <t>B8(2)</t>
  </si>
  <si>
    <t>X8(10)</t>
  </si>
  <si>
    <t>AF=1</t>
  </si>
  <si>
    <t>SF=1</t>
  </si>
  <si>
    <t>Result is correct</t>
  </si>
  <si>
    <t>B9(2)</t>
  </si>
  <si>
    <t>X9(10)</t>
  </si>
  <si>
    <t>Sum of two negative numbers must be negative. Owerflow occurs. Result is not correct.</t>
  </si>
  <si>
    <t>B11(2)</t>
  </si>
  <si>
    <t>X11(10)</t>
  </si>
  <si>
    <t>Result is correct. Carry flag is not taken into account</t>
  </si>
  <si>
    <t>Юксель Хамза Номер варианта: 78%40 =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</si>
</sst>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i/>
      <sz val="11"/>
      <name val="Calibri"/>
      <family val="2"/>
      <charset val="162"/>
      <scheme val="minor"/>
    </font>
    <font>
      <i/>
      <sz val="11"/>
      <color rgb="FFC00000"/>
      <name val="Calibri"/>
      <family val="2"/>
      <charset val="162"/>
      <scheme val="minor"/>
    </font>
    <font>
      <sz val="11"/>
      <color rgb="FFC00000"/>
      <name val="Calibri"/>
      <family val="2"/>
      <scheme val="minor"/>
    </font>
    <font>
      <sz val="1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quotePrefix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2" borderId="0" xfId="0" applyFill="1" applyAlignment="1">
      <alignment horizontal="righ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6FB15A-0264-43D0-844E-14DE62B8C414}">
  <we:reference id="wa200005502" version="1.0.0.11" store="tr-TR" storeType="OMEX"/>
  <we:alternateReferences>
    <we:reference id="wa200005502" version="1.0.0.11" store="wa200005502" storeType="OMEX"/>
  </we:alternateReferences>
  <we:properties>
    <we:property name="docId" value="&quot;CH2vz0_1kBnsNYDRWkUy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7"/>
  <sheetViews>
    <sheetView tabSelected="1" zoomScale="70" zoomScaleNormal="70" workbookViewId="0">
      <selection activeCell="Q23" sqref="Q23"/>
    </sheetView>
  </sheetViews>
  <sheetFormatPr defaultRowHeight="14.5" x14ac:dyDescent="0.35"/>
  <cols>
    <col min="2" max="2" width="11.7265625" customWidth="1"/>
    <col min="4" max="4" width="4.453125" customWidth="1"/>
    <col min="7" max="25" width="3.1796875" customWidth="1"/>
  </cols>
  <sheetData>
    <row r="1" spans="1:27" ht="15.5" customHeight="1" x14ac:dyDescent="0.35">
      <c r="A1" t="s">
        <v>2</v>
      </c>
      <c r="B1" s="1" t="s">
        <v>1</v>
      </c>
      <c r="C1">
        <f xml:space="preserve"> 3943</f>
        <v>3943</v>
      </c>
      <c r="G1" s="12" t="s">
        <v>88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7" ht="15.5" customHeight="1" x14ac:dyDescent="0.35">
      <c r="B2" s="1" t="s">
        <v>3</v>
      </c>
      <c r="C2">
        <f>15410</f>
        <v>15410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7" ht="15.5" customHeight="1" x14ac:dyDescent="0.35">
      <c r="B3" s="1"/>
      <c r="F3" t="s">
        <v>49</v>
      </c>
      <c r="G3" s="1">
        <v>15</v>
      </c>
      <c r="H3" s="1">
        <v>14</v>
      </c>
      <c r="I3" s="1">
        <v>13</v>
      </c>
      <c r="J3" s="1">
        <v>12</v>
      </c>
      <c r="K3" s="1"/>
      <c r="L3" s="1">
        <v>11</v>
      </c>
      <c r="M3" s="1">
        <v>10</v>
      </c>
      <c r="N3" s="1">
        <v>9</v>
      </c>
      <c r="O3" s="1">
        <v>8</v>
      </c>
      <c r="P3" s="1"/>
      <c r="Q3" s="1">
        <v>7</v>
      </c>
      <c r="R3" s="1">
        <v>6</v>
      </c>
      <c r="S3" s="1">
        <v>5</v>
      </c>
      <c r="T3" s="1">
        <v>4</v>
      </c>
      <c r="U3" s="1"/>
      <c r="V3" s="1">
        <v>3</v>
      </c>
      <c r="W3" s="1">
        <v>2</v>
      </c>
      <c r="X3" s="1">
        <v>1</v>
      </c>
      <c r="Y3" s="1">
        <v>0</v>
      </c>
      <c r="AA3" t="s">
        <v>45</v>
      </c>
    </row>
    <row r="4" spans="1:27" x14ac:dyDescent="0.35">
      <c r="A4" s="1" t="s">
        <v>0</v>
      </c>
      <c r="B4" s="1" t="s">
        <v>4</v>
      </c>
      <c r="C4">
        <f>C1</f>
        <v>3943</v>
      </c>
      <c r="E4" s="1" t="s">
        <v>38</v>
      </c>
      <c r="G4" s="11" t="str">
        <f>IF(G$3="",".",MID(IF($C4&gt;0,_xlfn.BASE($C4,2,16),_xlfn.BASE($C4+2^16,2,16)),ABS(G$3-16),1))</f>
        <v>0</v>
      </c>
      <c r="H4" s="11" t="str">
        <f t="shared" ref="H4:Y15" si="0">IF(H$3="",".",MID(IF($C4&gt;0,_xlfn.BASE($C4,2,16),_xlfn.BASE($C4+2^16,2,16)),ABS(H$3-16),1))</f>
        <v>0</v>
      </c>
      <c r="I4" s="11" t="str">
        <f t="shared" si="0"/>
        <v>0</v>
      </c>
      <c r="J4" s="11" t="str">
        <f t="shared" si="0"/>
        <v>0</v>
      </c>
      <c r="K4" s="1" t="str">
        <f t="shared" si="0"/>
        <v>.</v>
      </c>
      <c r="L4" s="1" t="str">
        <f>IF(L$3="",".",MID(IF($C4&gt;0,_xlfn.BASE($C4,2,16),_xlfn.BASE($C4+2^16,2,16)),ABS(L$3-16),1))</f>
        <v>1</v>
      </c>
      <c r="M4" s="1" t="str">
        <f t="shared" si="0"/>
        <v>1</v>
      </c>
      <c r="N4" s="1" t="str">
        <f t="shared" si="0"/>
        <v>1</v>
      </c>
      <c r="O4" s="1" t="str">
        <f t="shared" si="0"/>
        <v>1</v>
      </c>
      <c r="P4" s="1" t="str">
        <f t="shared" si="0"/>
        <v>.</v>
      </c>
      <c r="Q4" s="11" t="str">
        <f t="shared" si="0"/>
        <v>0</v>
      </c>
      <c r="R4" s="1" t="str">
        <f t="shared" si="0"/>
        <v>1</v>
      </c>
      <c r="S4" s="1" t="str">
        <f t="shared" si="0"/>
        <v>1</v>
      </c>
      <c r="T4" s="11" t="str">
        <f t="shared" si="0"/>
        <v>0</v>
      </c>
      <c r="U4" s="1" t="str">
        <f t="shared" si="0"/>
        <v>.</v>
      </c>
      <c r="V4" s="11" t="str">
        <f t="shared" si="0"/>
        <v>0</v>
      </c>
      <c r="W4" s="1" t="str">
        <f t="shared" si="0"/>
        <v>1</v>
      </c>
      <c r="X4" s="1" t="str">
        <f t="shared" si="0"/>
        <v>1</v>
      </c>
      <c r="Y4" s="1" t="str">
        <f t="shared" si="0"/>
        <v>1</v>
      </c>
      <c r="AA4" t="s">
        <v>46</v>
      </c>
    </row>
    <row r="5" spans="1:27" x14ac:dyDescent="0.35">
      <c r="A5" s="1" t="s">
        <v>16</v>
      </c>
      <c r="B5" s="1" t="s">
        <v>5</v>
      </c>
      <c r="C5">
        <f>C2</f>
        <v>15410</v>
      </c>
      <c r="E5" s="1" t="s">
        <v>27</v>
      </c>
      <c r="G5" s="11" t="str">
        <f t="shared" ref="G5:G15" si="1">IF(G$3="",".",MID(IF($C5&gt;0,_xlfn.BASE($C5,2,16),_xlfn.BASE($C5+2^16,2,16)),ABS(G$3-16),1))</f>
        <v>0</v>
      </c>
      <c r="H5" s="11" t="str">
        <f t="shared" si="0"/>
        <v>0</v>
      </c>
      <c r="I5" s="1" t="str">
        <f t="shared" si="0"/>
        <v>1</v>
      </c>
      <c r="J5" s="1" t="str">
        <f t="shared" si="0"/>
        <v>1</v>
      </c>
      <c r="K5" s="1" t="str">
        <f t="shared" si="0"/>
        <v>.</v>
      </c>
      <c r="L5" s="1" t="str">
        <f t="shared" si="0"/>
        <v>1</v>
      </c>
      <c r="M5" s="1" t="str">
        <f t="shared" si="0"/>
        <v>1</v>
      </c>
      <c r="N5" s="11" t="str">
        <f t="shared" si="0"/>
        <v>0</v>
      </c>
      <c r="O5" s="11" t="str">
        <f t="shared" si="0"/>
        <v>0</v>
      </c>
      <c r="P5" s="1" t="str">
        <f t="shared" si="0"/>
        <v>.</v>
      </c>
      <c r="Q5" s="11" t="str">
        <f t="shared" si="0"/>
        <v>0</v>
      </c>
      <c r="R5" s="11" t="str">
        <f t="shared" si="0"/>
        <v>0</v>
      </c>
      <c r="S5" s="1" t="str">
        <f t="shared" si="0"/>
        <v>1</v>
      </c>
      <c r="T5" s="1" t="str">
        <f t="shared" si="0"/>
        <v>1</v>
      </c>
      <c r="U5" s="1" t="str">
        <f t="shared" si="0"/>
        <v>.</v>
      </c>
      <c r="V5" s="11" t="str">
        <f t="shared" si="0"/>
        <v>0</v>
      </c>
      <c r="W5" s="11" t="str">
        <f t="shared" si="0"/>
        <v>0</v>
      </c>
      <c r="X5" s="1" t="str">
        <f t="shared" si="0"/>
        <v>1</v>
      </c>
      <c r="Y5" s="11" t="str">
        <f t="shared" si="0"/>
        <v>0</v>
      </c>
      <c r="AA5" t="s">
        <v>47</v>
      </c>
    </row>
    <row r="6" spans="1:27" x14ac:dyDescent="0.35">
      <c r="A6" s="1" t="s">
        <v>17</v>
      </c>
      <c r="B6" s="1" t="s">
        <v>6</v>
      </c>
      <c r="C6">
        <f>C1+C2</f>
        <v>19353</v>
      </c>
      <c r="E6" s="1" t="s">
        <v>28</v>
      </c>
      <c r="G6" s="11" t="str">
        <f t="shared" si="1"/>
        <v>0</v>
      </c>
      <c r="H6" s="1" t="str">
        <f t="shared" si="0"/>
        <v>1</v>
      </c>
      <c r="I6" s="11" t="str">
        <f t="shared" si="0"/>
        <v>0</v>
      </c>
      <c r="J6" s="11" t="str">
        <f t="shared" si="0"/>
        <v>0</v>
      </c>
      <c r="K6" s="1" t="str">
        <f t="shared" si="0"/>
        <v>.</v>
      </c>
      <c r="L6" s="1" t="str">
        <f t="shared" si="0"/>
        <v>1</v>
      </c>
      <c r="M6" s="11" t="str">
        <f t="shared" si="0"/>
        <v>0</v>
      </c>
      <c r="N6" s="1" t="str">
        <f t="shared" si="0"/>
        <v>1</v>
      </c>
      <c r="O6" s="1" t="str">
        <f t="shared" si="0"/>
        <v>1</v>
      </c>
      <c r="P6" s="1" t="str">
        <f t="shared" si="0"/>
        <v>.</v>
      </c>
      <c r="Q6" s="1" t="str">
        <f t="shared" si="0"/>
        <v>1</v>
      </c>
      <c r="R6" s="11" t="str">
        <f t="shared" si="0"/>
        <v>0</v>
      </c>
      <c r="S6" s="11" t="str">
        <f t="shared" si="0"/>
        <v>0</v>
      </c>
      <c r="T6" s="1" t="str">
        <f t="shared" si="0"/>
        <v>1</v>
      </c>
      <c r="U6" s="1" t="str">
        <f t="shared" si="0"/>
        <v>.</v>
      </c>
      <c r="V6" s="1" t="str">
        <f t="shared" si="0"/>
        <v>1</v>
      </c>
      <c r="W6" s="11" t="str">
        <f t="shared" si="0"/>
        <v>0</v>
      </c>
      <c r="X6" s="11" t="str">
        <f t="shared" si="0"/>
        <v>0</v>
      </c>
      <c r="Y6" s="1" t="str">
        <f t="shared" si="0"/>
        <v>1</v>
      </c>
    </row>
    <row r="7" spans="1:27" x14ac:dyDescent="0.35">
      <c r="A7" s="1" t="s">
        <v>18</v>
      </c>
      <c r="B7" s="1" t="s">
        <v>7</v>
      </c>
      <c r="C7">
        <f>C1+C2+C2</f>
        <v>34763</v>
      </c>
      <c r="E7" s="1" t="s">
        <v>32</v>
      </c>
      <c r="G7" s="1" t="str">
        <f t="shared" si="1"/>
        <v>1</v>
      </c>
      <c r="H7" s="11" t="str">
        <f t="shared" si="0"/>
        <v>0</v>
      </c>
      <c r="I7" s="11" t="str">
        <f t="shared" si="0"/>
        <v>0</v>
      </c>
      <c r="J7" s="11" t="str">
        <f t="shared" si="0"/>
        <v>0</v>
      </c>
      <c r="K7" s="1" t="str">
        <f t="shared" si="0"/>
        <v>.</v>
      </c>
      <c r="L7" s="11" t="str">
        <f t="shared" si="0"/>
        <v>0</v>
      </c>
      <c r="M7" s="1" t="str">
        <f t="shared" si="0"/>
        <v>1</v>
      </c>
      <c r="N7" s="1" t="str">
        <f t="shared" si="0"/>
        <v>1</v>
      </c>
      <c r="O7" s="1" t="str">
        <f t="shared" si="0"/>
        <v>1</v>
      </c>
      <c r="P7" s="1" t="str">
        <f t="shared" si="0"/>
        <v>.</v>
      </c>
      <c r="Q7" s="1" t="str">
        <f t="shared" si="0"/>
        <v>1</v>
      </c>
      <c r="R7" s="1" t="str">
        <f t="shared" si="0"/>
        <v>1</v>
      </c>
      <c r="S7" s="1" t="str">
        <f t="shared" si="0"/>
        <v>0</v>
      </c>
      <c r="T7" s="11" t="str">
        <f t="shared" si="0"/>
        <v>0</v>
      </c>
      <c r="U7" s="1" t="str">
        <f t="shared" si="0"/>
        <v>.</v>
      </c>
      <c r="V7" s="1" t="str">
        <f t="shared" si="0"/>
        <v>1</v>
      </c>
      <c r="W7" s="11" t="str">
        <f t="shared" si="0"/>
        <v>0</v>
      </c>
      <c r="X7" s="1" t="str">
        <f t="shared" si="0"/>
        <v>1</v>
      </c>
      <c r="Y7" s="1" t="str">
        <f t="shared" si="0"/>
        <v>1</v>
      </c>
    </row>
    <row r="8" spans="1:27" x14ac:dyDescent="0.35">
      <c r="A8" s="1" t="s">
        <v>19</v>
      </c>
      <c r="B8" s="1" t="s">
        <v>8</v>
      </c>
      <c r="C8">
        <f>C2-C1</f>
        <v>11467</v>
      </c>
      <c r="E8" s="1" t="s">
        <v>33</v>
      </c>
      <c r="G8" s="1" t="str">
        <f t="shared" si="1"/>
        <v>0</v>
      </c>
      <c r="H8" s="1" t="str">
        <f t="shared" si="0"/>
        <v>0</v>
      </c>
      <c r="I8" s="1" t="str">
        <f t="shared" si="0"/>
        <v>1</v>
      </c>
      <c r="J8" s="1" t="str">
        <f t="shared" si="0"/>
        <v>0</v>
      </c>
      <c r="K8" s="1" t="str">
        <f t="shared" si="0"/>
        <v>.</v>
      </c>
      <c r="L8" s="1" t="str">
        <f t="shared" si="0"/>
        <v>1</v>
      </c>
      <c r="M8" s="1" t="str">
        <f t="shared" si="0"/>
        <v>1</v>
      </c>
      <c r="N8" s="1" t="str">
        <f t="shared" si="0"/>
        <v>0</v>
      </c>
      <c r="O8" s="1" t="str">
        <f t="shared" si="0"/>
        <v>0</v>
      </c>
      <c r="P8" s="1" t="str">
        <f t="shared" si="0"/>
        <v>.</v>
      </c>
      <c r="Q8" s="1" t="str">
        <f t="shared" si="0"/>
        <v>1</v>
      </c>
      <c r="R8" s="1" t="str">
        <f t="shared" si="0"/>
        <v>1</v>
      </c>
      <c r="S8" s="1" t="str">
        <f t="shared" si="0"/>
        <v>0</v>
      </c>
      <c r="T8" s="1" t="str">
        <f t="shared" si="0"/>
        <v>0</v>
      </c>
      <c r="U8" s="1" t="str">
        <f t="shared" si="0"/>
        <v>.</v>
      </c>
      <c r="V8" s="1" t="str">
        <f t="shared" si="0"/>
        <v>1</v>
      </c>
      <c r="W8" s="1" t="str">
        <f t="shared" si="0"/>
        <v>0</v>
      </c>
      <c r="X8" s="1" t="str">
        <f t="shared" si="0"/>
        <v>1</v>
      </c>
      <c r="Y8" s="1" t="str">
        <f t="shared" si="0"/>
        <v>1</v>
      </c>
    </row>
    <row r="9" spans="1:27" x14ac:dyDescent="0.35">
      <c r="A9" s="1" t="s">
        <v>20</v>
      </c>
      <c r="B9" s="1" t="s">
        <v>9</v>
      </c>
      <c r="C9">
        <f>65536-C7</f>
        <v>30773</v>
      </c>
      <c r="E9" s="1" t="s">
        <v>34</v>
      </c>
      <c r="G9" s="1" t="str">
        <f t="shared" si="1"/>
        <v>0</v>
      </c>
      <c r="H9" s="1" t="str">
        <f t="shared" si="0"/>
        <v>1</v>
      </c>
      <c r="I9" s="1" t="str">
        <f t="shared" si="0"/>
        <v>1</v>
      </c>
      <c r="J9" s="1" t="str">
        <f t="shared" si="0"/>
        <v>1</v>
      </c>
      <c r="K9" s="1" t="str">
        <f t="shared" si="0"/>
        <v>.</v>
      </c>
      <c r="L9" s="1" t="str">
        <f t="shared" si="0"/>
        <v>1</v>
      </c>
      <c r="M9" s="1" t="str">
        <f t="shared" si="0"/>
        <v>0</v>
      </c>
      <c r="N9" s="1" t="str">
        <f t="shared" si="0"/>
        <v>0</v>
      </c>
      <c r="O9" s="1" t="str">
        <f t="shared" si="0"/>
        <v>0</v>
      </c>
      <c r="P9" s="1" t="str">
        <f t="shared" si="0"/>
        <v>.</v>
      </c>
      <c r="Q9" s="1" t="str">
        <f t="shared" si="0"/>
        <v>0</v>
      </c>
      <c r="R9" s="1" t="str">
        <f t="shared" si="0"/>
        <v>0</v>
      </c>
      <c r="S9" s="1" t="str">
        <f t="shared" si="0"/>
        <v>1</v>
      </c>
      <c r="T9" s="1" t="str">
        <f t="shared" si="0"/>
        <v>1</v>
      </c>
      <c r="U9" s="1" t="str">
        <f t="shared" si="0"/>
        <v>.</v>
      </c>
      <c r="V9" s="1" t="str">
        <f t="shared" si="0"/>
        <v>0</v>
      </c>
      <c r="W9" s="1" t="str">
        <f t="shared" si="0"/>
        <v>1</v>
      </c>
      <c r="X9" s="1" t="str">
        <f t="shared" si="0"/>
        <v>0</v>
      </c>
      <c r="Y9" s="1" t="str">
        <f t="shared" si="0"/>
        <v>1</v>
      </c>
    </row>
    <row r="10" spans="1:27" x14ac:dyDescent="0.35">
      <c r="A10" s="1" t="s">
        <v>21</v>
      </c>
      <c r="B10" s="2" t="s">
        <v>10</v>
      </c>
      <c r="C10">
        <f t="shared" ref="C10:C15" si="2">-C4</f>
        <v>-3943</v>
      </c>
      <c r="E10" s="1" t="s">
        <v>35</v>
      </c>
      <c r="F10" s="2" t="s">
        <v>39</v>
      </c>
      <c r="G10" s="1" t="str">
        <f t="shared" si="1"/>
        <v>1</v>
      </c>
      <c r="H10" s="1" t="str">
        <f t="shared" si="0"/>
        <v>1</v>
      </c>
      <c r="I10" s="1" t="str">
        <f t="shared" si="0"/>
        <v>1</v>
      </c>
      <c r="J10" s="1" t="str">
        <f t="shared" si="0"/>
        <v>1</v>
      </c>
      <c r="K10" s="1" t="str">
        <f t="shared" si="0"/>
        <v>.</v>
      </c>
      <c r="L10" s="1" t="str">
        <f t="shared" si="0"/>
        <v>0</v>
      </c>
      <c r="M10" s="1" t="str">
        <f t="shared" si="0"/>
        <v>0</v>
      </c>
      <c r="N10" s="1" t="str">
        <f t="shared" si="0"/>
        <v>0</v>
      </c>
      <c r="O10" s="1" t="str">
        <f t="shared" si="0"/>
        <v>0</v>
      </c>
      <c r="P10" s="1" t="str">
        <f t="shared" si="0"/>
        <v>.</v>
      </c>
      <c r="Q10" s="1" t="str">
        <f t="shared" si="0"/>
        <v>1</v>
      </c>
      <c r="R10" s="1" t="str">
        <f t="shared" si="0"/>
        <v>0</v>
      </c>
      <c r="S10" s="1" t="str">
        <f t="shared" si="0"/>
        <v>0</v>
      </c>
      <c r="T10" s="1" t="str">
        <f t="shared" si="0"/>
        <v>1</v>
      </c>
      <c r="U10" s="1" t="str">
        <f t="shared" si="0"/>
        <v>.</v>
      </c>
      <c r="V10" s="1" t="str">
        <f t="shared" si="0"/>
        <v>1</v>
      </c>
      <c r="W10" s="1" t="str">
        <f t="shared" si="0"/>
        <v>0</v>
      </c>
      <c r="X10" s="1" t="str">
        <f t="shared" si="0"/>
        <v>0</v>
      </c>
      <c r="Y10" s="1" t="str">
        <f t="shared" si="0"/>
        <v>1</v>
      </c>
    </row>
    <row r="11" spans="1:27" x14ac:dyDescent="0.35">
      <c r="A11" s="1" t="s">
        <v>22</v>
      </c>
      <c r="B11" s="2" t="s">
        <v>11</v>
      </c>
      <c r="C11">
        <f t="shared" si="2"/>
        <v>-15410</v>
      </c>
      <c r="E11" s="1" t="s">
        <v>36</v>
      </c>
      <c r="F11" s="2" t="s">
        <v>40</v>
      </c>
      <c r="G11" s="1" t="str">
        <f t="shared" si="1"/>
        <v>1</v>
      </c>
      <c r="H11" s="1" t="str">
        <f t="shared" si="0"/>
        <v>1</v>
      </c>
      <c r="I11" s="1" t="str">
        <f t="shared" si="0"/>
        <v>0</v>
      </c>
      <c r="J11" s="1" t="str">
        <f t="shared" si="0"/>
        <v>0</v>
      </c>
      <c r="K11" s="1" t="str">
        <f t="shared" si="0"/>
        <v>.</v>
      </c>
      <c r="L11" s="1" t="str">
        <f t="shared" si="0"/>
        <v>0</v>
      </c>
      <c r="M11" s="1" t="str">
        <f t="shared" si="0"/>
        <v>0</v>
      </c>
      <c r="N11" s="1" t="str">
        <f t="shared" si="0"/>
        <v>1</v>
      </c>
      <c r="O11" s="1" t="str">
        <f t="shared" si="0"/>
        <v>1</v>
      </c>
      <c r="P11" s="1" t="str">
        <f t="shared" si="0"/>
        <v>.</v>
      </c>
      <c r="Q11" s="1" t="str">
        <f t="shared" si="0"/>
        <v>1</v>
      </c>
      <c r="R11" s="1" t="str">
        <f t="shared" si="0"/>
        <v>1</v>
      </c>
      <c r="S11" s="1" t="str">
        <f t="shared" si="0"/>
        <v>0</v>
      </c>
      <c r="T11" s="1" t="str">
        <f t="shared" si="0"/>
        <v>0</v>
      </c>
      <c r="U11" s="1" t="str">
        <f t="shared" si="0"/>
        <v>.</v>
      </c>
      <c r="V11" s="1" t="str">
        <f t="shared" si="0"/>
        <v>1</v>
      </c>
      <c r="W11" s="1" t="str">
        <f t="shared" si="0"/>
        <v>1</v>
      </c>
      <c r="X11" s="1" t="str">
        <f t="shared" si="0"/>
        <v>1</v>
      </c>
      <c r="Y11" s="1" t="str">
        <f t="shared" si="0"/>
        <v>0</v>
      </c>
    </row>
    <row r="12" spans="1:27" x14ac:dyDescent="0.35">
      <c r="A12" s="1" t="s">
        <v>23</v>
      </c>
      <c r="B12" s="2" t="s">
        <v>12</v>
      </c>
      <c r="C12">
        <f t="shared" si="2"/>
        <v>-19353</v>
      </c>
      <c r="E12" s="1" t="s">
        <v>37</v>
      </c>
      <c r="F12" s="2" t="s">
        <v>41</v>
      </c>
      <c r="G12" s="1" t="str">
        <f t="shared" si="1"/>
        <v>1</v>
      </c>
      <c r="H12" s="1" t="str">
        <f t="shared" si="0"/>
        <v>0</v>
      </c>
      <c r="I12" s="1" t="str">
        <f t="shared" si="0"/>
        <v>1</v>
      </c>
      <c r="J12" s="1" t="str">
        <f t="shared" si="0"/>
        <v>1</v>
      </c>
      <c r="K12" s="1" t="str">
        <f t="shared" si="0"/>
        <v>.</v>
      </c>
      <c r="L12" s="1" t="str">
        <f t="shared" si="0"/>
        <v>0</v>
      </c>
      <c r="M12" s="1" t="str">
        <f t="shared" si="0"/>
        <v>1</v>
      </c>
      <c r="N12" s="1" t="str">
        <f t="shared" si="0"/>
        <v>0</v>
      </c>
      <c r="O12" s="1" t="str">
        <f t="shared" si="0"/>
        <v>0</v>
      </c>
      <c r="P12" s="1" t="str">
        <f t="shared" si="0"/>
        <v>.</v>
      </c>
      <c r="Q12" s="1" t="str">
        <f t="shared" si="0"/>
        <v>0</v>
      </c>
      <c r="R12" s="1" t="str">
        <f t="shared" si="0"/>
        <v>1</v>
      </c>
      <c r="S12" s="1" t="str">
        <f t="shared" si="0"/>
        <v>1</v>
      </c>
      <c r="T12" s="1" t="str">
        <f t="shared" si="0"/>
        <v>0</v>
      </c>
      <c r="U12" s="1" t="str">
        <f t="shared" si="0"/>
        <v>.</v>
      </c>
      <c r="V12" s="1" t="str">
        <f t="shared" si="0"/>
        <v>0</v>
      </c>
      <c r="W12" s="1" t="str">
        <f t="shared" si="0"/>
        <v>1</v>
      </c>
      <c r="X12" s="1" t="str">
        <f t="shared" si="0"/>
        <v>1</v>
      </c>
      <c r="Y12" s="1" t="str">
        <f t="shared" si="0"/>
        <v>1</v>
      </c>
    </row>
    <row r="13" spans="1:27" x14ac:dyDescent="0.35">
      <c r="A13" s="1" t="s">
        <v>24</v>
      </c>
      <c r="B13" s="2" t="s">
        <v>13</v>
      </c>
      <c r="C13">
        <f t="shared" si="2"/>
        <v>-34763</v>
      </c>
      <c r="E13" s="1" t="s">
        <v>31</v>
      </c>
      <c r="F13" s="2" t="s">
        <v>42</v>
      </c>
      <c r="G13" s="1" t="str">
        <f t="shared" si="1"/>
        <v>0</v>
      </c>
      <c r="H13" s="1" t="str">
        <f t="shared" si="0"/>
        <v>1</v>
      </c>
      <c r="I13" s="1" t="str">
        <f t="shared" si="0"/>
        <v>1</v>
      </c>
      <c r="J13" s="1" t="str">
        <f t="shared" si="0"/>
        <v>1</v>
      </c>
      <c r="K13" s="1" t="str">
        <f t="shared" si="0"/>
        <v>.</v>
      </c>
      <c r="L13" s="1" t="str">
        <f t="shared" si="0"/>
        <v>1</v>
      </c>
      <c r="M13" s="1" t="str">
        <f t="shared" si="0"/>
        <v>0</v>
      </c>
      <c r="N13" s="1" t="str">
        <f t="shared" si="0"/>
        <v>0</v>
      </c>
      <c r="O13" s="1" t="str">
        <f t="shared" si="0"/>
        <v>0</v>
      </c>
      <c r="P13" s="1" t="str">
        <f t="shared" si="0"/>
        <v>.</v>
      </c>
      <c r="Q13" s="1" t="str">
        <f t="shared" si="0"/>
        <v>0</v>
      </c>
      <c r="R13" s="1" t="str">
        <f t="shared" si="0"/>
        <v>0</v>
      </c>
      <c r="S13" s="1" t="str">
        <f t="shared" si="0"/>
        <v>1</v>
      </c>
      <c r="T13" s="1" t="str">
        <f t="shared" si="0"/>
        <v>1</v>
      </c>
      <c r="U13" s="1" t="str">
        <f t="shared" si="0"/>
        <v>.</v>
      </c>
      <c r="V13" s="1" t="str">
        <f t="shared" si="0"/>
        <v>0</v>
      </c>
      <c r="W13" s="1" t="str">
        <f t="shared" si="0"/>
        <v>1</v>
      </c>
      <c r="X13" s="1" t="str">
        <f t="shared" si="0"/>
        <v>0</v>
      </c>
      <c r="Y13" s="1" t="str">
        <f t="shared" si="0"/>
        <v>1</v>
      </c>
    </row>
    <row r="14" spans="1:27" x14ac:dyDescent="0.35">
      <c r="A14" s="1" t="s">
        <v>25</v>
      </c>
      <c r="B14" s="2" t="s">
        <v>14</v>
      </c>
      <c r="C14">
        <f t="shared" si="2"/>
        <v>-11467</v>
      </c>
      <c r="E14" s="1" t="s">
        <v>30</v>
      </c>
      <c r="F14" s="2" t="s">
        <v>43</v>
      </c>
      <c r="G14" s="1" t="str">
        <f t="shared" si="1"/>
        <v>1</v>
      </c>
      <c r="H14" s="1" t="str">
        <f t="shared" si="0"/>
        <v>1</v>
      </c>
      <c r="I14" s="1" t="str">
        <f t="shared" si="0"/>
        <v>0</v>
      </c>
      <c r="J14" s="1" t="str">
        <f t="shared" si="0"/>
        <v>1</v>
      </c>
      <c r="K14" s="1" t="str">
        <f t="shared" si="0"/>
        <v>.</v>
      </c>
      <c r="L14" s="1" t="str">
        <f t="shared" si="0"/>
        <v>0</v>
      </c>
      <c r="M14" s="1" t="str">
        <f t="shared" si="0"/>
        <v>0</v>
      </c>
      <c r="N14" s="1" t="str">
        <f t="shared" si="0"/>
        <v>1</v>
      </c>
      <c r="O14" s="1" t="str">
        <f t="shared" si="0"/>
        <v>1</v>
      </c>
      <c r="P14" s="1" t="str">
        <f t="shared" si="0"/>
        <v>.</v>
      </c>
      <c r="Q14" s="1" t="str">
        <f t="shared" si="0"/>
        <v>0</v>
      </c>
      <c r="R14" s="1" t="str">
        <f t="shared" si="0"/>
        <v>0</v>
      </c>
      <c r="S14" s="1" t="str">
        <f t="shared" si="0"/>
        <v>1</v>
      </c>
      <c r="T14" s="1" t="str">
        <f t="shared" si="0"/>
        <v>1</v>
      </c>
      <c r="U14" s="1" t="str">
        <f t="shared" si="0"/>
        <v>.</v>
      </c>
      <c r="V14" s="1" t="str">
        <f t="shared" si="0"/>
        <v>0</v>
      </c>
      <c r="W14" s="1" t="str">
        <f t="shared" si="0"/>
        <v>1</v>
      </c>
      <c r="X14" s="1" t="str">
        <f t="shared" si="0"/>
        <v>0</v>
      </c>
      <c r="Y14" s="1" t="str">
        <f t="shared" si="0"/>
        <v>1</v>
      </c>
    </row>
    <row r="15" spans="1:27" x14ac:dyDescent="0.35">
      <c r="A15" s="1" t="s">
        <v>26</v>
      </c>
      <c r="B15" s="2" t="s">
        <v>15</v>
      </c>
      <c r="C15">
        <f t="shared" si="2"/>
        <v>-30773</v>
      </c>
      <c r="E15" s="1" t="s">
        <v>29</v>
      </c>
      <c r="F15" s="2" t="s">
        <v>44</v>
      </c>
      <c r="G15" s="1" t="str">
        <f t="shared" si="1"/>
        <v>1</v>
      </c>
      <c r="H15" s="1" t="str">
        <f t="shared" si="0"/>
        <v>0</v>
      </c>
      <c r="I15" s="1" t="str">
        <f t="shared" si="0"/>
        <v>0</v>
      </c>
      <c r="J15" s="1" t="str">
        <f t="shared" si="0"/>
        <v>0</v>
      </c>
      <c r="K15" s="1" t="str">
        <f t="shared" si="0"/>
        <v>.</v>
      </c>
      <c r="L15" s="1" t="str">
        <f t="shared" si="0"/>
        <v>0</v>
      </c>
      <c r="M15" s="1" t="str">
        <f t="shared" si="0"/>
        <v>1</v>
      </c>
      <c r="N15" s="1" t="str">
        <f t="shared" si="0"/>
        <v>1</v>
      </c>
      <c r="O15" s="1" t="str">
        <f t="shared" si="0"/>
        <v>1</v>
      </c>
      <c r="P15" s="1" t="str">
        <f t="shared" si="0"/>
        <v>.</v>
      </c>
      <c r="Q15" s="1" t="str">
        <f t="shared" si="0"/>
        <v>1</v>
      </c>
      <c r="R15" s="1" t="str">
        <f t="shared" si="0"/>
        <v>1</v>
      </c>
      <c r="S15" s="1" t="str">
        <f t="shared" si="0"/>
        <v>0</v>
      </c>
      <c r="T15" s="1" t="str">
        <f t="shared" si="0"/>
        <v>0</v>
      </c>
      <c r="U15" s="1" t="str">
        <f t="shared" si="0"/>
        <v>.</v>
      </c>
      <c r="V15" s="1" t="str">
        <f t="shared" si="0"/>
        <v>1</v>
      </c>
      <c r="W15" s="1" t="str">
        <f t="shared" si="0"/>
        <v>0</v>
      </c>
      <c r="X15" s="1" t="str">
        <f t="shared" si="0"/>
        <v>1</v>
      </c>
      <c r="Y15" s="1" t="str">
        <f t="shared" si="0"/>
        <v>1</v>
      </c>
    </row>
    <row r="17" spans="4:32" x14ac:dyDescent="0.35">
      <c r="G17" s="5">
        <f t="shared" ref="G17:W17" si="3">IF(H18=".",H17,IF(OR(H18+H19+H17=2,H17+H18+H19=3),1,0))</f>
        <v>0</v>
      </c>
      <c r="H17" s="5">
        <f t="shared" si="3"/>
        <v>1</v>
      </c>
      <c r="I17" s="5">
        <f t="shared" si="3"/>
        <v>1</v>
      </c>
      <c r="J17" s="5">
        <f t="shared" si="3"/>
        <v>1</v>
      </c>
      <c r="K17" s="5">
        <f t="shared" si="3"/>
        <v>1</v>
      </c>
      <c r="L17" s="5">
        <f t="shared" si="3"/>
        <v>1</v>
      </c>
      <c r="M17" s="5">
        <f t="shared" si="3"/>
        <v>0</v>
      </c>
      <c r="N17" s="5">
        <f t="shared" si="3"/>
        <v>0</v>
      </c>
      <c r="O17" s="5">
        <f t="shared" si="3"/>
        <v>0</v>
      </c>
      <c r="P17" s="5">
        <f t="shared" si="3"/>
        <v>0</v>
      </c>
      <c r="Q17" s="5">
        <f t="shared" si="3"/>
        <v>1</v>
      </c>
      <c r="R17" s="5">
        <f t="shared" si="3"/>
        <v>1</v>
      </c>
      <c r="S17" s="5">
        <f t="shared" si="3"/>
        <v>0</v>
      </c>
      <c r="T17" s="5">
        <f t="shared" si="3"/>
        <v>0</v>
      </c>
      <c r="U17" s="9">
        <f t="shared" si="3"/>
        <v>0</v>
      </c>
      <c r="V17" s="5">
        <f t="shared" si="3"/>
        <v>1</v>
      </c>
      <c r="W17" s="5">
        <f t="shared" si="3"/>
        <v>1</v>
      </c>
      <c r="X17" s="5">
        <f>IF(Y18=".",Y17,IF(OR(Y18+Y19+Y17=2,Y17+Y18+Y19=3),1,0))</f>
        <v>0</v>
      </c>
      <c r="Y17" s="5">
        <v>0</v>
      </c>
    </row>
    <row r="18" spans="4:32" x14ac:dyDescent="0.35">
      <c r="E18" s="2" t="s">
        <v>50</v>
      </c>
      <c r="G18" t="str">
        <f t="shared" ref="G18:I19" si="4">G4</f>
        <v>0</v>
      </c>
      <c r="H18" t="str">
        <f t="shared" si="4"/>
        <v>0</v>
      </c>
      <c r="I18" t="str">
        <f t="shared" si="4"/>
        <v>0</v>
      </c>
      <c r="J18" t="str">
        <f t="shared" ref="J18:X18" si="5">J4</f>
        <v>0</v>
      </c>
      <c r="K18" t="str">
        <f t="shared" si="5"/>
        <v>.</v>
      </c>
      <c r="L18" t="str">
        <f t="shared" si="5"/>
        <v>1</v>
      </c>
      <c r="M18" t="str">
        <f t="shared" si="5"/>
        <v>1</v>
      </c>
      <c r="N18" t="str">
        <f t="shared" si="5"/>
        <v>1</v>
      </c>
      <c r="O18" t="str">
        <f t="shared" si="5"/>
        <v>1</v>
      </c>
      <c r="P18" t="str">
        <f t="shared" si="5"/>
        <v>.</v>
      </c>
      <c r="Q18" t="str">
        <f t="shared" si="5"/>
        <v>0</v>
      </c>
      <c r="R18" t="str">
        <f t="shared" si="5"/>
        <v>1</v>
      </c>
      <c r="S18" t="str">
        <f t="shared" si="5"/>
        <v>1</v>
      </c>
      <c r="T18" t="str">
        <f t="shared" si="5"/>
        <v>0</v>
      </c>
      <c r="U18" t="str">
        <f t="shared" si="5"/>
        <v>.</v>
      </c>
      <c r="V18" t="str">
        <f t="shared" si="5"/>
        <v>0</v>
      </c>
      <c r="W18" t="str">
        <f t="shared" si="5"/>
        <v>1</v>
      </c>
      <c r="X18" t="str">
        <f t="shared" si="5"/>
        <v>1</v>
      </c>
      <c r="Y18" t="str">
        <f>Y4</f>
        <v>1</v>
      </c>
      <c r="AC18" t="s">
        <v>54</v>
      </c>
      <c r="AD18">
        <f>C4</f>
        <v>3943</v>
      </c>
    </row>
    <row r="19" spans="4:32" x14ac:dyDescent="0.35">
      <c r="D19" s="7" t="s">
        <v>48</v>
      </c>
      <c r="E19" s="1" t="s">
        <v>51</v>
      </c>
      <c r="G19" t="str">
        <f t="shared" si="4"/>
        <v>0</v>
      </c>
      <c r="H19" t="str">
        <f t="shared" si="4"/>
        <v>0</v>
      </c>
      <c r="I19" t="str">
        <f t="shared" si="4"/>
        <v>1</v>
      </c>
      <c r="J19" t="str">
        <f t="shared" ref="J19:Y19" si="6">J5</f>
        <v>1</v>
      </c>
      <c r="K19" t="str">
        <f t="shared" si="6"/>
        <v>.</v>
      </c>
      <c r="L19" t="str">
        <f t="shared" si="6"/>
        <v>1</v>
      </c>
      <c r="M19" t="str">
        <f t="shared" si="6"/>
        <v>1</v>
      </c>
      <c r="N19" t="str">
        <f t="shared" si="6"/>
        <v>0</v>
      </c>
      <c r="O19" t="str">
        <f t="shared" si="6"/>
        <v>0</v>
      </c>
      <c r="P19" t="str">
        <f t="shared" si="6"/>
        <v>.</v>
      </c>
      <c r="Q19" t="str">
        <f t="shared" si="6"/>
        <v>0</v>
      </c>
      <c r="R19" t="str">
        <f t="shared" si="6"/>
        <v>0</v>
      </c>
      <c r="S19" t="str">
        <f t="shared" si="6"/>
        <v>1</v>
      </c>
      <c r="T19" t="str">
        <f t="shared" si="6"/>
        <v>1</v>
      </c>
      <c r="U19" t="str">
        <f t="shared" si="6"/>
        <v>.</v>
      </c>
      <c r="V19" t="str">
        <f t="shared" si="6"/>
        <v>0</v>
      </c>
      <c r="W19" t="str">
        <f t="shared" si="6"/>
        <v>0</v>
      </c>
      <c r="X19" t="str">
        <f t="shared" si="6"/>
        <v>1</v>
      </c>
      <c r="Y19" t="str">
        <f t="shared" si="6"/>
        <v>0</v>
      </c>
      <c r="AB19" s="7" t="s">
        <v>48</v>
      </c>
      <c r="AC19" t="s">
        <v>55</v>
      </c>
      <c r="AD19">
        <f>C5</f>
        <v>15410</v>
      </c>
      <c r="AF19" t="s">
        <v>69</v>
      </c>
    </row>
    <row r="20" spans="4:32" x14ac:dyDescent="0.35">
      <c r="D20" s="3"/>
      <c r="E20" s="3"/>
      <c r="F20" s="3"/>
      <c r="G20" s="6">
        <f t="shared" ref="G20:W20" si="7">IF(G18=".",".",IF(OR(G18+G19+G17=2,G17+G18+G19=0),0,1))</f>
        <v>0</v>
      </c>
      <c r="H20" s="6">
        <f t="shared" si="7"/>
        <v>1</v>
      </c>
      <c r="I20" s="6">
        <f t="shared" si="7"/>
        <v>0</v>
      </c>
      <c r="J20" s="6">
        <f t="shared" si="7"/>
        <v>0</v>
      </c>
      <c r="K20" s="6" t="str">
        <f t="shared" si="7"/>
        <v>.</v>
      </c>
      <c r="L20" s="6">
        <f t="shared" si="7"/>
        <v>1</v>
      </c>
      <c r="M20" s="6">
        <f t="shared" si="7"/>
        <v>0</v>
      </c>
      <c r="N20" s="6">
        <f t="shared" si="7"/>
        <v>1</v>
      </c>
      <c r="O20" s="6">
        <f t="shared" si="7"/>
        <v>1</v>
      </c>
      <c r="P20" s="6" t="str">
        <f t="shared" si="7"/>
        <v>.</v>
      </c>
      <c r="Q20" s="6">
        <f t="shared" si="7"/>
        <v>1</v>
      </c>
      <c r="R20" s="6">
        <f t="shared" si="7"/>
        <v>0</v>
      </c>
      <c r="S20" s="6">
        <f t="shared" si="7"/>
        <v>0</v>
      </c>
      <c r="T20" s="6">
        <f t="shared" si="7"/>
        <v>1</v>
      </c>
      <c r="U20" s="6" t="str">
        <f t="shared" si="7"/>
        <v>.</v>
      </c>
      <c r="V20" s="6">
        <f t="shared" si="7"/>
        <v>1</v>
      </c>
      <c r="W20" s="6">
        <f t="shared" si="7"/>
        <v>0</v>
      </c>
      <c r="X20" s="6">
        <f>IF(X18=".",".",IF(OR(X18+X19+X17=2,X17+X18+X19=0),0,1))</f>
        <v>0</v>
      </c>
      <c r="Y20" s="6">
        <f>IF(Y18=".",".",IF(OR(Y18+Y19=2,Y18+Y19=0),0,1))</f>
        <v>1</v>
      </c>
      <c r="Z20" s="7" t="s">
        <v>52</v>
      </c>
      <c r="AA20">
        <f>IF(G20=0,_xlfn.DECIMAL(G20&amp;H20&amp;I20&amp;J20&amp;L20&amp;M20&amp;N20&amp;O20&amp;Q20&amp;R20&amp;S20&amp;T20&amp;V20&amp;W20&amp;X20&amp;Y20,2),0-_xlfn.DECIMAL(H21&amp;I21&amp;J21&amp;L21&amp;M21&amp;N21&amp;O21&amp;Q21&amp;R21&amp;S21&amp;T21&amp;V21&amp;W21&amp;X21&amp;Y21,2))</f>
        <v>19353</v>
      </c>
      <c r="AB20" s="3"/>
      <c r="AC20" s="3"/>
      <c r="AD20" s="3">
        <f>AD18+AD19</f>
        <v>19353</v>
      </c>
    </row>
    <row r="21" spans="4:32" x14ac:dyDescent="0.35">
      <c r="E21" t="s">
        <v>53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4:32" x14ac:dyDescent="0.35"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4:32" x14ac:dyDescent="0.35">
      <c r="G23" t="s">
        <v>65</v>
      </c>
      <c r="H23">
        <f>0</f>
        <v>0</v>
      </c>
      <c r="J23" t="s">
        <v>66</v>
      </c>
      <c r="K23">
        <f>1</f>
        <v>1</v>
      </c>
      <c r="M23" s="10" t="s">
        <v>67</v>
      </c>
      <c r="N23">
        <v>0</v>
      </c>
      <c r="P23" t="s">
        <v>60</v>
      </c>
      <c r="Q23">
        <v>0</v>
      </c>
      <c r="S23" t="s">
        <v>57</v>
      </c>
      <c r="T23">
        <v>0</v>
      </c>
      <c r="V23" t="s">
        <v>61</v>
      </c>
      <c r="W23">
        <v>0</v>
      </c>
    </row>
    <row r="26" spans="4:32" x14ac:dyDescent="0.35">
      <c r="G26" s="5">
        <f t="shared" ref="G26:W26" si="8">IF(H27=".",H26,IF(OR(H27+H28+H26=2,H26+H27+H28=3),1,0))</f>
        <v>1</v>
      </c>
      <c r="H26" s="5">
        <f t="shared" si="8"/>
        <v>1</v>
      </c>
      <c r="I26" s="5">
        <f t="shared" si="8"/>
        <v>1</v>
      </c>
      <c r="J26" s="5">
        <f t="shared" si="8"/>
        <v>1</v>
      </c>
      <c r="K26" s="5">
        <f t="shared" si="8"/>
        <v>1</v>
      </c>
      <c r="L26" s="5">
        <f t="shared" si="8"/>
        <v>0</v>
      </c>
      <c r="M26" s="5">
        <f t="shared" si="8"/>
        <v>0</v>
      </c>
      <c r="N26" s="5">
        <f t="shared" si="8"/>
        <v>0</v>
      </c>
      <c r="O26" s="5">
        <f t="shared" si="8"/>
        <v>0</v>
      </c>
      <c r="P26" s="5">
        <f t="shared" si="8"/>
        <v>0</v>
      </c>
      <c r="Q26" s="5">
        <f t="shared" si="8"/>
        <v>0</v>
      </c>
      <c r="R26" s="5">
        <f t="shared" si="8"/>
        <v>1</v>
      </c>
      <c r="S26" s="5">
        <f t="shared" si="8"/>
        <v>1</v>
      </c>
      <c r="T26" s="5">
        <f t="shared" si="8"/>
        <v>0</v>
      </c>
      <c r="U26" s="9">
        <f t="shared" si="8"/>
        <v>0</v>
      </c>
      <c r="V26" s="5">
        <f t="shared" si="8"/>
        <v>0</v>
      </c>
      <c r="W26" s="5">
        <f t="shared" si="8"/>
        <v>0</v>
      </c>
      <c r="X26" s="5">
        <f>IF(Y27=".",Y26,IF(OR(Y27+Y28+Y26=2,Y26+Y27+Y28=3),1,0))</f>
        <v>0</v>
      </c>
      <c r="Y26" s="5">
        <v>0</v>
      </c>
    </row>
    <row r="27" spans="4:32" x14ac:dyDescent="0.35">
      <c r="E27" t="s">
        <v>51</v>
      </c>
      <c r="G27" s="4" t="str">
        <f>G5</f>
        <v>0</v>
      </c>
      <c r="H27" s="4" t="str">
        <f>H5</f>
        <v>0</v>
      </c>
      <c r="I27" s="4" t="str">
        <f t="shared" ref="I27:Y27" si="9">I5</f>
        <v>1</v>
      </c>
      <c r="J27" s="4" t="str">
        <f t="shared" si="9"/>
        <v>1</v>
      </c>
      <c r="K27" s="4" t="str">
        <f t="shared" si="9"/>
        <v>.</v>
      </c>
      <c r="L27" s="4" t="str">
        <f t="shared" si="9"/>
        <v>1</v>
      </c>
      <c r="M27" s="4" t="str">
        <f t="shared" si="9"/>
        <v>1</v>
      </c>
      <c r="N27" s="4" t="str">
        <f t="shared" si="9"/>
        <v>0</v>
      </c>
      <c r="O27" s="4" t="str">
        <f t="shared" si="9"/>
        <v>0</v>
      </c>
      <c r="P27" s="4" t="str">
        <f t="shared" si="9"/>
        <v>.</v>
      </c>
      <c r="Q27" s="4" t="str">
        <f t="shared" si="9"/>
        <v>0</v>
      </c>
      <c r="R27" s="4" t="str">
        <f t="shared" si="9"/>
        <v>0</v>
      </c>
      <c r="S27" s="4" t="str">
        <f t="shared" si="9"/>
        <v>1</v>
      </c>
      <c r="T27" s="4" t="str">
        <f t="shared" si="9"/>
        <v>1</v>
      </c>
      <c r="U27" s="4" t="str">
        <f t="shared" si="9"/>
        <v>.</v>
      </c>
      <c r="V27" s="4" t="str">
        <f t="shared" si="9"/>
        <v>0</v>
      </c>
      <c r="W27" s="4" t="str">
        <f t="shared" si="9"/>
        <v>0</v>
      </c>
      <c r="X27" s="4" t="str">
        <f t="shared" si="9"/>
        <v>1</v>
      </c>
      <c r="Y27" s="4" t="str">
        <f t="shared" si="9"/>
        <v>0</v>
      </c>
      <c r="AC27" t="s">
        <v>55</v>
      </c>
      <c r="AD27">
        <f>C5</f>
        <v>15410</v>
      </c>
    </row>
    <row r="28" spans="4:32" x14ac:dyDescent="0.35">
      <c r="D28" s="7" t="s">
        <v>48</v>
      </c>
      <c r="E28" t="s">
        <v>62</v>
      </c>
      <c r="G28" s="4" t="str">
        <f>G6</f>
        <v>0</v>
      </c>
      <c r="H28" s="4" t="str">
        <f>H6</f>
        <v>1</v>
      </c>
      <c r="I28" s="4" t="str">
        <f t="shared" ref="I28:Y28" si="10">I6</f>
        <v>0</v>
      </c>
      <c r="J28" s="4" t="str">
        <f t="shared" si="10"/>
        <v>0</v>
      </c>
      <c r="K28" s="4" t="str">
        <f t="shared" si="10"/>
        <v>.</v>
      </c>
      <c r="L28" s="4" t="str">
        <f t="shared" si="10"/>
        <v>1</v>
      </c>
      <c r="M28" s="4" t="str">
        <f t="shared" si="10"/>
        <v>0</v>
      </c>
      <c r="N28" s="4" t="str">
        <f t="shared" si="10"/>
        <v>1</v>
      </c>
      <c r="O28" s="4" t="str">
        <f t="shared" si="10"/>
        <v>1</v>
      </c>
      <c r="P28" s="4" t="str">
        <f t="shared" si="10"/>
        <v>.</v>
      </c>
      <c r="Q28" s="4" t="str">
        <f t="shared" si="10"/>
        <v>1</v>
      </c>
      <c r="R28" s="4" t="str">
        <f t="shared" si="10"/>
        <v>0</v>
      </c>
      <c r="S28" s="4" t="str">
        <f t="shared" si="10"/>
        <v>0</v>
      </c>
      <c r="T28" s="4" t="str">
        <f t="shared" si="10"/>
        <v>1</v>
      </c>
      <c r="U28" s="4" t="str">
        <f t="shared" si="10"/>
        <v>.</v>
      </c>
      <c r="V28" s="4" t="str">
        <f t="shared" si="10"/>
        <v>1</v>
      </c>
      <c r="W28" s="4" t="str">
        <f t="shared" si="10"/>
        <v>0</v>
      </c>
      <c r="X28" s="4" t="str">
        <f t="shared" si="10"/>
        <v>0</v>
      </c>
      <c r="Y28" s="4" t="str">
        <f t="shared" si="10"/>
        <v>1</v>
      </c>
      <c r="AB28" s="7" t="s">
        <v>48</v>
      </c>
      <c r="AC28" t="s">
        <v>64</v>
      </c>
      <c r="AD28">
        <f>C6</f>
        <v>19353</v>
      </c>
      <c r="AF28" t="s">
        <v>68</v>
      </c>
    </row>
    <row r="29" spans="4:32" x14ac:dyDescent="0.35">
      <c r="D29" s="3"/>
      <c r="E29" s="3"/>
      <c r="F29" s="3"/>
      <c r="G29" s="6">
        <f t="shared" ref="G29:X29" si="11">IF(G27=".",".",IF(OR(G27+G28+G26=2,G26+G27+G28=0),0,1))</f>
        <v>1</v>
      </c>
      <c r="H29" s="6">
        <f t="shared" si="11"/>
        <v>0</v>
      </c>
      <c r="I29" s="6">
        <f t="shared" si="11"/>
        <v>0</v>
      </c>
      <c r="J29" s="6">
        <f t="shared" si="11"/>
        <v>0</v>
      </c>
      <c r="K29" s="6" t="str">
        <f t="shared" si="11"/>
        <v>.</v>
      </c>
      <c r="L29" s="6">
        <f t="shared" si="11"/>
        <v>0</v>
      </c>
      <c r="M29" s="6">
        <f t="shared" si="11"/>
        <v>1</v>
      </c>
      <c r="N29" s="6">
        <f t="shared" si="11"/>
        <v>1</v>
      </c>
      <c r="O29" s="6">
        <f t="shared" si="11"/>
        <v>1</v>
      </c>
      <c r="P29" s="6" t="str">
        <f t="shared" si="11"/>
        <v>.</v>
      </c>
      <c r="Q29" s="6">
        <f t="shared" si="11"/>
        <v>1</v>
      </c>
      <c r="R29" s="6">
        <f t="shared" si="11"/>
        <v>1</v>
      </c>
      <c r="S29" s="6">
        <f t="shared" si="11"/>
        <v>0</v>
      </c>
      <c r="T29" s="6">
        <f t="shared" si="11"/>
        <v>0</v>
      </c>
      <c r="U29" s="6" t="str">
        <f t="shared" si="11"/>
        <v>.</v>
      </c>
      <c r="V29" s="6">
        <f t="shared" si="11"/>
        <v>1</v>
      </c>
      <c r="W29" s="6">
        <f t="shared" si="11"/>
        <v>0</v>
      </c>
      <c r="X29" s="6">
        <f t="shared" si="11"/>
        <v>1</v>
      </c>
      <c r="Y29" s="6">
        <f>IF(Y27=".",".",IF(OR(Y27+Y28=2,Y27+Y28=0),0,1))</f>
        <v>1</v>
      </c>
      <c r="Z29" s="7" t="s">
        <v>52</v>
      </c>
      <c r="AA29">
        <f>IF(G29=0,_xlfn.DECIMAL(G29&amp;H29&amp;I29&amp;J29&amp;L29&amp;M29&amp;N29&amp;O29&amp;Q29&amp;R29&amp;S29&amp;T29&amp;V29&amp;W29&amp;X29&amp;Y29,2),0-_xlfn.DECIMAL(H30&amp;I30&amp;J30&amp;L30&amp;M30&amp;N30&amp;O30&amp;Q30&amp;R30&amp;S30&amp;T30&amp;V30&amp;W30&amp;X30&amp;Y30,2))</f>
        <v>-30773</v>
      </c>
      <c r="AB29" s="3"/>
      <c r="AC29" s="3"/>
      <c r="AD29" s="3">
        <f>AD27+AD28</f>
        <v>34763</v>
      </c>
    </row>
    <row r="30" spans="4:32" x14ac:dyDescent="0.35">
      <c r="E30" t="s">
        <v>63</v>
      </c>
      <c r="G30" s="4">
        <f>IF(G29=0,0,1)</f>
        <v>1</v>
      </c>
      <c r="H30" s="4">
        <f t="shared" ref="H30:X30" si="12">IF(H29=".",".",IF(H29=1,0,1))</f>
        <v>1</v>
      </c>
      <c r="I30" s="4">
        <f t="shared" si="12"/>
        <v>1</v>
      </c>
      <c r="J30" s="4">
        <f t="shared" si="12"/>
        <v>1</v>
      </c>
      <c r="K30" s="4" t="str">
        <f t="shared" si="12"/>
        <v>.</v>
      </c>
      <c r="L30" s="4">
        <f t="shared" si="12"/>
        <v>1</v>
      </c>
      <c r="M30" s="4">
        <f t="shared" si="12"/>
        <v>0</v>
      </c>
      <c r="N30" s="4">
        <f t="shared" si="12"/>
        <v>0</v>
      </c>
      <c r="O30" s="4">
        <f t="shared" si="12"/>
        <v>0</v>
      </c>
      <c r="P30" s="4" t="str">
        <f t="shared" si="12"/>
        <v>.</v>
      </c>
      <c r="Q30" s="4">
        <f t="shared" si="12"/>
        <v>0</v>
      </c>
      <c r="R30" s="4">
        <f t="shared" si="12"/>
        <v>0</v>
      </c>
      <c r="S30" s="4">
        <f t="shared" si="12"/>
        <v>1</v>
      </c>
      <c r="T30" s="4">
        <f t="shared" si="12"/>
        <v>1</v>
      </c>
      <c r="U30" s="4" t="str">
        <f t="shared" si="12"/>
        <v>.</v>
      </c>
      <c r="V30" s="4">
        <f t="shared" si="12"/>
        <v>0</v>
      </c>
      <c r="W30" s="4">
        <f t="shared" si="12"/>
        <v>1</v>
      </c>
      <c r="X30" s="4">
        <f t="shared" si="12"/>
        <v>0</v>
      </c>
      <c r="Y30" s="4">
        <f>1</f>
        <v>1</v>
      </c>
    </row>
    <row r="32" spans="4:32" x14ac:dyDescent="0.35">
      <c r="G32" t="s">
        <v>56</v>
      </c>
      <c r="J32" t="s">
        <v>70</v>
      </c>
      <c r="M32" s="10" t="s">
        <v>59</v>
      </c>
      <c r="P32" t="s">
        <v>60</v>
      </c>
      <c r="S32" t="s">
        <v>71</v>
      </c>
      <c r="V32" t="s">
        <v>72</v>
      </c>
    </row>
    <row r="35" spans="4:32" x14ac:dyDescent="0.35">
      <c r="G35" s="5">
        <f t="shared" ref="G35:W35" si="13">IF(H36=".",H35,IF(OR(H36+H37+H35=2,H35+H36+H37=3),1,0))</f>
        <v>1</v>
      </c>
      <c r="H35" s="5">
        <f t="shared" si="13"/>
        <v>1</v>
      </c>
      <c r="I35" s="5">
        <f t="shared" si="13"/>
        <v>1</v>
      </c>
      <c r="J35" s="5">
        <f t="shared" si="13"/>
        <v>0</v>
      </c>
      <c r="K35" s="5">
        <f t="shared" si="13"/>
        <v>0</v>
      </c>
      <c r="L35" s="5">
        <f t="shared" si="13"/>
        <v>0</v>
      </c>
      <c r="M35" s="5">
        <f t="shared" si="13"/>
        <v>0</v>
      </c>
      <c r="N35" s="5">
        <f t="shared" si="13"/>
        <v>0</v>
      </c>
      <c r="O35" s="5">
        <f t="shared" si="13"/>
        <v>0</v>
      </c>
      <c r="P35" s="5">
        <f t="shared" si="13"/>
        <v>0</v>
      </c>
      <c r="Q35" s="5">
        <f t="shared" si="13"/>
        <v>0</v>
      </c>
      <c r="R35" s="5">
        <f t="shared" si="13"/>
        <v>1</v>
      </c>
      <c r="S35" s="5">
        <f t="shared" si="13"/>
        <v>1</v>
      </c>
      <c r="T35" s="5">
        <f t="shared" si="13"/>
        <v>0</v>
      </c>
      <c r="U35" s="9">
        <f t="shared" si="13"/>
        <v>0</v>
      </c>
      <c r="V35" s="5">
        <f t="shared" si="13"/>
        <v>0</v>
      </c>
      <c r="W35" s="5">
        <f t="shared" si="13"/>
        <v>0</v>
      </c>
      <c r="X35" s="5">
        <f>IF(Y36=".",Y35,IF(OR(Y36+Y37+Y35=2,Y35+Y36+Y37=3),1,0))</f>
        <v>0</v>
      </c>
      <c r="Y35" s="5">
        <v>0</v>
      </c>
    </row>
    <row r="36" spans="4:32" x14ac:dyDescent="0.35">
      <c r="E36" t="s">
        <v>51</v>
      </c>
      <c r="G36" t="str">
        <f>G5</f>
        <v>0</v>
      </c>
      <c r="H36" t="str">
        <f t="shared" ref="H36:Y36" si="14">H5</f>
        <v>0</v>
      </c>
      <c r="I36" t="str">
        <f t="shared" si="14"/>
        <v>1</v>
      </c>
      <c r="J36" t="str">
        <f t="shared" si="14"/>
        <v>1</v>
      </c>
      <c r="K36" t="str">
        <f t="shared" si="14"/>
        <v>.</v>
      </c>
      <c r="L36" t="str">
        <f t="shared" si="14"/>
        <v>1</v>
      </c>
      <c r="M36" t="str">
        <f t="shared" si="14"/>
        <v>1</v>
      </c>
      <c r="N36" t="str">
        <f t="shared" si="14"/>
        <v>0</v>
      </c>
      <c r="O36" t="str">
        <f t="shared" si="14"/>
        <v>0</v>
      </c>
      <c r="P36" t="str">
        <f t="shared" si="14"/>
        <v>.</v>
      </c>
      <c r="Q36" t="str">
        <f t="shared" si="14"/>
        <v>0</v>
      </c>
      <c r="R36" t="str">
        <f t="shared" si="14"/>
        <v>0</v>
      </c>
      <c r="S36" t="str">
        <f t="shared" si="14"/>
        <v>1</v>
      </c>
      <c r="T36" t="str">
        <f t="shared" si="14"/>
        <v>1</v>
      </c>
      <c r="U36" t="str">
        <f t="shared" si="14"/>
        <v>.</v>
      </c>
      <c r="V36" t="str">
        <f t="shared" si="14"/>
        <v>0</v>
      </c>
      <c r="W36" t="str">
        <f t="shared" si="14"/>
        <v>0</v>
      </c>
      <c r="X36" t="str">
        <f t="shared" si="14"/>
        <v>1</v>
      </c>
      <c r="Y36" t="str">
        <f t="shared" si="14"/>
        <v>0</v>
      </c>
      <c r="AC36" t="s">
        <v>55</v>
      </c>
      <c r="AD36">
        <f>C5</f>
        <v>15410</v>
      </c>
    </row>
    <row r="37" spans="4:32" x14ac:dyDescent="0.35">
      <c r="D37" s="7" t="s">
        <v>48</v>
      </c>
      <c r="E37" t="s">
        <v>73</v>
      </c>
      <c r="G37" t="str">
        <f>G10</f>
        <v>1</v>
      </c>
      <c r="H37" t="str">
        <f t="shared" ref="H37:Y37" si="15">H10</f>
        <v>1</v>
      </c>
      <c r="I37" t="str">
        <f t="shared" si="15"/>
        <v>1</v>
      </c>
      <c r="J37" t="str">
        <f t="shared" si="15"/>
        <v>1</v>
      </c>
      <c r="K37" t="str">
        <f t="shared" si="15"/>
        <v>.</v>
      </c>
      <c r="L37" t="str">
        <f t="shared" si="15"/>
        <v>0</v>
      </c>
      <c r="M37" t="str">
        <f t="shared" si="15"/>
        <v>0</v>
      </c>
      <c r="N37" t="str">
        <f t="shared" si="15"/>
        <v>0</v>
      </c>
      <c r="O37" t="str">
        <f t="shared" si="15"/>
        <v>0</v>
      </c>
      <c r="P37" t="str">
        <f t="shared" si="15"/>
        <v>.</v>
      </c>
      <c r="Q37" t="str">
        <f t="shared" si="15"/>
        <v>1</v>
      </c>
      <c r="R37" t="str">
        <f t="shared" si="15"/>
        <v>0</v>
      </c>
      <c r="S37" t="str">
        <f t="shared" si="15"/>
        <v>0</v>
      </c>
      <c r="T37" t="str">
        <f t="shared" si="15"/>
        <v>1</v>
      </c>
      <c r="U37" t="str">
        <f t="shared" si="15"/>
        <v>.</v>
      </c>
      <c r="V37" t="str">
        <f t="shared" si="15"/>
        <v>1</v>
      </c>
      <c r="W37" t="str">
        <f t="shared" si="15"/>
        <v>0</v>
      </c>
      <c r="X37" t="str">
        <f t="shared" si="15"/>
        <v>0</v>
      </c>
      <c r="Y37" t="str">
        <f t="shared" si="15"/>
        <v>1</v>
      </c>
      <c r="AB37" s="7" t="s">
        <v>48</v>
      </c>
      <c r="AC37" t="s">
        <v>74</v>
      </c>
      <c r="AD37">
        <f>C10</f>
        <v>-3943</v>
      </c>
      <c r="AF37" t="s">
        <v>76</v>
      </c>
    </row>
    <row r="38" spans="4:32" x14ac:dyDescent="0.35">
      <c r="D38" s="3"/>
      <c r="E38" s="3"/>
      <c r="F38" s="3"/>
      <c r="G38" s="6">
        <f t="shared" ref="G38:X38" si="16">IF(G36=".",".",IF(OR(G36+G37+G35=2,G35+G36+G37=0),0,1))</f>
        <v>0</v>
      </c>
      <c r="H38" s="6">
        <f t="shared" si="16"/>
        <v>0</v>
      </c>
      <c r="I38" s="6">
        <f t="shared" si="16"/>
        <v>1</v>
      </c>
      <c r="J38" s="6">
        <f t="shared" si="16"/>
        <v>0</v>
      </c>
      <c r="K38" s="6" t="str">
        <f t="shared" si="16"/>
        <v>.</v>
      </c>
      <c r="L38" s="6">
        <f t="shared" si="16"/>
        <v>1</v>
      </c>
      <c r="M38" s="6">
        <f t="shared" si="16"/>
        <v>1</v>
      </c>
      <c r="N38" s="6">
        <f t="shared" si="16"/>
        <v>0</v>
      </c>
      <c r="O38" s="6">
        <f t="shared" si="16"/>
        <v>0</v>
      </c>
      <c r="P38" s="6" t="str">
        <f t="shared" si="16"/>
        <v>.</v>
      </c>
      <c r="Q38" s="6">
        <f t="shared" si="16"/>
        <v>1</v>
      </c>
      <c r="R38" s="6">
        <f t="shared" si="16"/>
        <v>1</v>
      </c>
      <c r="S38" s="6">
        <f t="shared" si="16"/>
        <v>0</v>
      </c>
      <c r="T38" s="6">
        <f t="shared" si="16"/>
        <v>0</v>
      </c>
      <c r="U38" s="6" t="str">
        <f t="shared" si="16"/>
        <v>.</v>
      </c>
      <c r="V38" s="6">
        <f t="shared" si="16"/>
        <v>1</v>
      </c>
      <c r="W38" s="6">
        <f t="shared" si="16"/>
        <v>0</v>
      </c>
      <c r="X38" s="6">
        <f t="shared" si="16"/>
        <v>1</v>
      </c>
      <c r="Y38" s="6">
        <f>IF(Y36=".",".",IF(OR(Y36+Y37=2,Y36+Y37=0),0,1))</f>
        <v>1</v>
      </c>
      <c r="Z38" s="7" t="s">
        <v>52</v>
      </c>
      <c r="AA38">
        <f>IF(G38=0,_xlfn.DECIMAL(G38&amp;H38&amp;I38&amp;J38&amp;L38&amp;M38&amp;N38&amp;O38&amp;Q38&amp;R38&amp;S38&amp;T38&amp;V38&amp;W38&amp;X38&amp;Y38,2),0-_xlfn.DECIMAL(H39&amp;I39&amp;J39&amp;L39&amp;M39&amp;N39&amp;O39&amp;Q39&amp;R39&amp;S39&amp;T39&amp;V39&amp;W39&amp;X39&amp;Y39,2))</f>
        <v>11467</v>
      </c>
      <c r="AB38" s="3"/>
      <c r="AC38" s="3"/>
      <c r="AD38" s="3">
        <f>AD36+AD37</f>
        <v>11467</v>
      </c>
    </row>
    <row r="39" spans="4:32" x14ac:dyDescent="0.35">
      <c r="E39" t="s">
        <v>63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7"/>
    </row>
    <row r="41" spans="4:32" x14ac:dyDescent="0.35">
      <c r="G41" t="s">
        <v>75</v>
      </c>
      <c r="J41" t="s">
        <v>58</v>
      </c>
      <c r="M41" s="10" t="s">
        <v>59</v>
      </c>
      <c r="P41" t="s">
        <v>60</v>
      </c>
      <c r="S41" t="s">
        <v>57</v>
      </c>
      <c r="V41" t="s">
        <v>61</v>
      </c>
    </row>
    <row r="44" spans="4:32" x14ac:dyDescent="0.35">
      <c r="G44" s="5">
        <f t="shared" ref="G44:W44" si="17">IF(H45=".",H44,IF(OR(H45+H46+H44=2,H44+H45+H46=3),1,0))</f>
        <v>1</v>
      </c>
      <c r="H44" s="5">
        <f t="shared" si="17"/>
        <v>0</v>
      </c>
      <c r="I44" s="5">
        <f t="shared" si="17"/>
        <v>0</v>
      </c>
      <c r="J44" s="5">
        <f t="shared" si="17"/>
        <v>0</v>
      </c>
      <c r="K44" s="5">
        <f t="shared" si="17"/>
        <v>0</v>
      </c>
      <c r="L44" s="5">
        <f t="shared" si="17"/>
        <v>0</v>
      </c>
      <c r="M44" s="5">
        <f t="shared" si="17"/>
        <v>1</v>
      </c>
      <c r="N44" s="5">
        <f t="shared" si="17"/>
        <v>1</v>
      </c>
      <c r="O44" s="5">
        <f t="shared" si="17"/>
        <v>1</v>
      </c>
      <c r="P44" s="8">
        <f>IF(Q45=".",Q44,IF(OR(Q45+Q46+Q44=2,Q44+Q45+Q46=3),1,0))</f>
        <v>1</v>
      </c>
      <c r="Q44" s="5">
        <f t="shared" si="17"/>
        <v>0</v>
      </c>
      <c r="R44" s="5">
        <f t="shared" si="17"/>
        <v>0</v>
      </c>
      <c r="S44" s="5">
        <f t="shared" si="17"/>
        <v>1</v>
      </c>
      <c r="T44" s="5">
        <f t="shared" si="17"/>
        <v>1</v>
      </c>
      <c r="U44" s="9">
        <f t="shared" si="17"/>
        <v>1</v>
      </c>
      <c r="V44" s="5">
        <f t="shared" si="17"/>
        <v>0</v>
      </c>
      <c r="W44" s="5">
        <f t="shared" si="17"/>
        <v>0</v>
      </c>
      <c r="X44" s="5">
        <f>IF(Y45=".",Y44,IF(OR(Y45+Y46+Y44=2,Y44+Y45+Y46=3),1,0))</f>
        <v>0</v>
      </c>
      <c r="Y44" s="5">
        <v>0</v>
      </c>
    </row>
    <row r="45" spans="4:32" x14ac:dyDescent="0.35">
      <c r="E45" t="s">
        <v>73</v>
      </c>
      <c r="G45" t="str">
        <f>G10</f>
        <v>1</v>
      </c>
      <c r="H45" t="str">
        <f t="shared" ref="H45:Y45" si="18">H10</f>
        <v>1</v>
      </c>
      <c r="I45" t="str">
        <f t="shared" si="18"/>
        <v>1</v>
      </c>
      <c r="J45" t="str">
        <f t="shared" si="18"/>
        <v>1</v>
      </c>
      <c r="K45" t="str">
        <f t="shared" si="18"/>
        <v>.</v>
      </c>
      <c r="L45" t="str">
        <f t="shared" si="18"/>
        <v>0</v>
      </c>
      <c r="M45" t="str">
        <f t="shared" si="18"/>
        <v>0</v>
      </c>
      <c r="N45" t="str">
        <f t="shared" si="18"/>
        <v>0</v>
      </c>
      <c r="O45" t="str">
        <f t="shared" si="18"/>
        <v>0</v>
      </c>
      <c r="P45" t="str">
        <f t="shared" si="18"/>
        <v>.</v>
      </c>
      <c r="Q45" t="str">
        <f t="shared" si="18"/>
        <v>1</v>
      </c>
      <c r="R45" t="str">
        <f t="shared" si="18"/>
        <v>0</v>
      </c>
      <c r="S45" t="str">
        <f t="shared" si="18"/>
        <v>0</v>
      </c>
      <c r="T45" t="str">
        <f t="shared" si="18"/>
        <v>1</v>
      </c>
      <c r="U45" t="str">
        <f t="shared" si="18"/>
        <v>.</v>
      </c>
      <c r="V45" t="str">
        <f t="shared" si="18"/>
        <v>1</v>
      </c>
      <c r="W45" t="str">
        <f t="shared" si="18"/>
        <v>0</v>
      </c>
      <c r="X45" t="str">
        <f t="shared" si="18"/>
        <v>0</v>
      </c>
      <c r="Y45" t="str">
        <f t="shared" si="18"/>
        <v>1</v>
      </c>
      <c r="AC45" t="s">
        <v>74</v>
      </c>
      <c r="AD45">
        <f>C10</f>
        <v>-3943</v>
      </c>
    </row>
    <row r="46" spans="4:32" x14ac:dyDescent="0.35">
      <c r="D46" s="7" t="s">
        <v>48</v>
      </c>
      <c r="E46" t="s">
        <v>77</v>
      </c>
      <c r="G46" t="str">
        <f>G11</f>
        <v>1</v>
      </c>
      <c r="H46" t="str">
        <f t="shared" ref="H46:X46" si="19">H11</f>
        <v>1</v>
      </c>
      <c r="I46" t="str">
        <f t="shared" si="19"/>
        <v>0</v>
      </c>
      <c r="J46" t="str">
        <f t="shared" si="19"/>
        <v>0</v>
      </c>
      <c r="K46" t="str">
        <f t="shared" si="19"/>
        <v>.</v>
      </c>
      <c r="L46" t="str">
        <f t="shared" si="19"/>
        <v>0</v>
      </c>
      <c r="M46" t="str">
        <f t="shared" si="19"/>
        <v>0</v>
      </c>
      <c r="N46" t="str">
        <f t="shared" si="19"/>
        <v>1</v>
      </c>
      <c r="O46" t="str">
        <f t="shared" si="19"/>
        <v>1</v>
      </c>
      <c r="P46" t="str">
        <f t="shared" si="19"/>
        <v>.</v>
      </c>
      <c r="Q46" t="str">
        <f t="shared" si="19"/>
        <v>1</v>
      </c>
      <c r="R46" t="str">
        <f t="shared" si="19"/>
        <v>1</v>
      </c>
      <c r="S46" t="str">
        <f t="shared" si="19"/>
        <v>0</v>
      </c>
      <c r="T46" t="str">
        <f t="shared" si="19"/>
        <v>0</v>
      </c>
      <c r="U46" t="str">
        <f t="shared" si="19"/>
        <v>.</v>
      </c>
      <c r="V46" t="str">
        <f t="shared" si="19"/>
        <v>1</v>
      </c>
      <c r="W46" t="str">
        <f t="shared" si="19"/>
        <v>1</v>
      </c>
      <c r="X46" t="str">
        <f t="shared" si="19"/>
        <v>1</v>
      </c>
      <c r="Y46" t="str">
        <f>Y11</f>
        <v>0</v>
      </c>
      <c r="AB46" s="7" t="s">
        <v>48</v>
      </c>
      <c r="AC46" t="s">
        <v>78</v>
      </c>
      <c r="AD46">
        <f>C11</f>
        <v>-15410</v>
      </c>
      <c r="AF46" t="s">
        <v>81</v>
      </c>
    </row>
    <row r="47" spans="4:32" x14ac:dyDescent="0.35">
      <c r="D47" s="3"/>
      <c r="E47" s="3"/>
      <c r="F47" s="3"/>
      <c r="G47" s="6">
        <f t="shared" ref="G47:X47" si="20">IF(G45=".",".",IF(OR(G45+G46+G44=2,G44+G45+G46=0),0,1))</f>
        <v>1</v>
      </c>
      <c r="H47" s="6">
        <f t="shared" si="20"/>
        <v>0</v>
      </c>
      <c r="I47" s="6">
        <f t="shared" si="20"/>
        <v>1</v>
      </c>
      <c r="J47" s="6">
        <f t="shared" si="20"/>
        <v>1</v>
      </c>
      <c r="K47" s="6" t="str">
        <f t="shared" si="20"/>
        <v>.</v>
      </c>
      <c r="L47" s="6">
        <f t="shared" si="20"/>
        <v>0</v>
      </c>
      <c r="M47" s="6">
        <f t="shared" si="20"/>
        <v>1</v>
      </c>
      <c r="N47" s="6">
        <f t="shared" si="20"/>
        <v>0</v>
      </c>
      <c r="O47" s="6">
        <f t="shared" si="20"/>
        <v>0</v>
      </c>
      <c r="P47" s="6" t="str">
        <f t="shared" si="20"/>
        <v>.</v>
      </c>
      <c r="Q47" s="6">
        <f t="shared" si="20"/>
        <v>0</v>
      </c>
      <c r="R47" s="6">
        <f t="shared" si="20"/>
        <v>1</v>
      </c>
      <c r="S47" s="6">
        <f t="shared" si="20"/>
        <v>1</v>
      </c>
      <c r="T47" s="6">
        <f t="shared" si="20"/>
        <v>0</v>
      </c>
      <c r="U47" s="6" t="str">
        <f t="shared" si="20"/>
        <v>.</v>
      </c>
      <c r="V47" s="6">
        <f t="shared" si="20"/>
        <v>0</v>
      </c>
      <c r="W47" s="6">
        <f t="shared" si="20"/>
        <v>1</v>
      </c>
      <c r="X47" s="6">
        <f t="shared" si="20"/>
        <v>1</v>
      </c>
      <c r="Y47" s="6">
        <f>IF(Y45=".",".",IF(OR(Y45+Y46=2,Y45+Y46=0),0,1))</f>
        <v>1</v>
      </c>
      <c r="Z47" s="7" t="s">
        <v>52</v>
      </c>
      <c r="AA47">
        <f>IF(G47=0,_xlfn.DECIMAL(G47&amp;H47&amp;I47&amp;J47&amp;L47&amp;M47&amp;N47&amp;O47&amp;Q47&amp;R47&amp;S47&amp;T47&amp;V47&amp;W47&amp;X47&amp;Y47,2),0-_xlfn.DECIMAL(H48&amp;I48&amp;J48&amp;L48&amp;M48&amp;N48&amp;O48&amp;Q48&amp;R48&amp;S48&amp;T48&amp;V48&amp;W48&amp;X48&amp;Y48,2))</f>
        <v>-19353</v>
      </c>
      <c r="AB47" s="3"/>
      <c r="AC47" s="3"/>
      <c r="AD47" s="3">
        <f>AD45+AD46</f>
        <v>-19353</v>
      </c>
    </row>
    <row r="48" spans="4:32" x14ac:dyDescent="0.35">
      <c r="E48" t="s">
        <v>63</v>
      </c>
      <c r="G48" s="4">
        <f>IF(G47=0,0,1)</f>
        <v>1</v>
      </c>
      <c r="H48" s="4">
        <f t="shared" ref="H48:X48" si="21">IF(H47=".",".",IF(H47=1,0,1))</f>
        <v>1</v>
      </c>
      <c r="I48" s="4">
        <f t="shared" si="21"/>
        <v>0</v>
      </c>
      <c r="J48" s="4">
        <f t="shared" si="21"/>
        <v>0</v>
      </c>
      <c r="K48" s="4" t="str">
        <f t="shared" si="21"/>
        <v>.</v>
      </c>
      <c r="L48" s="4">
        <f t="shared" si="21"/>
        <v>1</v>
      </c>
      <c r="M48" s="4">
        <f t="shared" si="21"/>
        <v>0</v>
      </c>
      <c r="N48" s="4">
        <f t="shared" si="21"/>
        <v>1</v>
      </c>
      <c r="O48" s="4">
        <f t="shared" si="21"/>
        <v>1</v>
      </c>
      <c r="P48" s="4" t="str">
        <f t="shared" si="21"/>
        <v>.</v>
      </c>
      <c r="Q48" s="4">
        <f t="shared" si="21"/>
        <v>1</v>
      </c>
      <c r="R48" s="4">
        <f t="shared" si="21"/>
        <v>0</v>
      </c>
      <c r="S48" s="4">
        <f t="shared" si="21"/>
        <v>0</v>
      </c>
      <c r="T48" s="4">
        <f t="shared" si="21"/>
        <v>1</v>
      </c>
      <c r="U48" s="4" t="str">
        <f t="shared" si="21"/>
        <v>.</v>
      </c>
      <c r="V48" s="4">
        <f t="shared" si="21"/>
        <v>1</v>
      </c>
      <c r="W48" s="4">
        <f t="shared" si="21"/>
        <v>0</v>
      </c>
      <c r="X48" s="4">
        <f t="shared" si="21"/>
        <v>0</v>
      </c>
      <c r="Y48" s="4">
        <f>1</f>
        <v>1</v>
      </c>
      <c r="Z48" s="7"/>
    </row>
    <row r="50" spans="4:32" x14ac:dyDescent="0.35">
      <c r="G50" t="s">
        <v>75</v>
      </c>
      <c r="J50" t="s">
        <v>70</v>
      </c>
      <c r="M50" s="10" t="s">
        <v>79</v>
      </c>
      <c r="P50" t="s">
        <v>60</v>
      </c>
      <c r="S50" t="s">
        <v>80</v>
      </c>
      <c r="V50" t="s">
        <v>61</v>
      </c>
    </row>
    <row r="53" spans="4:32" x14ac:dyDescent="0.35">
      <c r="G53" s="5">
        <f t="shared" ref="G53:O53" si="22">IF(H54=".",H53,IF(OR(H54+H55+H53=2,H53+H54+H55=3),1,0))</f>
        <v>0</v>
      </c>
      <c r="H53" s="5">
        <f t="shared" si="22"/>
        <v>0</v>
      </c>
      <c r="I53" s="5">
        <f t="shared" si="22"/>
        <v>0</v>
      </c>
      <c r="J53" s="5">
        <f t="shared" si="22"/>
        <v>0</v>
      </c>
      <c r="K53" s="5">
        <f t="shared" si="22"/>
        <v>0</v>
      </c>
      <c r="L53" s="5">
        <f t="shared" si="22"/>
        <v>1</v>
      </c>
      <c r="M53" s="5">
        <f t="shared" si="22"/>
        <v>1</v>
      </c>
      <c r="N53" s="5">
        <f t="shared" si="22"/>
        <v>1</v>
      </c>
      <c r="O53" s="5">
        <f t="shared" si="22"/>
        <v>1</v>
      </c>
      <c r="P53" s="8">
        <f>IF(Q54=".",Q53,IF(OR(Q54+Q55+Q53=2,Q53+Q54+Q55=3),1,0))</f>
        <v>1</v>
      </c>
      <c r="Q53" s="5">
        <f t="shared" ref="Q53:W53" si="23">IF(R54=".",R53,IF(OR(R54+R55+R53=2,R53+R54+R55=3),1,0))</f>
        <v>1</v>
      </c>
      <c r="R53" s="5">
        <f t="shared" si="23"/>
        <v>0</v>
      </c>
      <c r="S53" s="5">
        <f t="shared" si="23"/>
        <v>0</v>
      </c>
      <c r="T53" s="5">
        <f t="shared" si="23"/>
        <v>1</v>
      </c>
      <c r="U53" s="9">
        <f t="shared" si="23"/>
        <v>1</v>
      </c>
      <c r="V53" s="5">
        <f t="shared" si="23"/>
        <v>1</v>
      </c>
      <c r="W53" s="5">
        <f t="shared" si="23"/>
        <v>1</v>
      </c>
      <c r="X53" s="5">
        <f>IF(Y54=".",Y53,IF(OR(Y54+Y55+Y53=2,Y53+Y54+Y55=3),1,0))</f>
        <v>0</v>
      </c>
      <c r="Y53" s="5">
        <v>0</v>
      </c>
    </row>
    <row r="54" spans="4:32" x14ac:dyDescent="0.35">
      <c r="E54" t="s">
        <v>77</v>
      </c>
      <c r="G54" t="str">
        <f>G11</f>
        <v>1</v>
      </c>
      <c r="H54" t="str">
        <f t="shared" ref="H54:Y54" si="24">H11</f>
        <v>1</v>
      </c>
      <c r="I54" t="str">
        <f t="shared" si="24"/>
        <v>0</v>
      </c>
      <c r="J54" t="str">
        <f t="shared" si="24"/>
        <v>0</v>
      </c>
      <c r="K54" t="str">
        <f t="shared" si="24"/>
        <v>.</v>
      </c>
      <c r="L54" t="str">
        <f t="shared" si="24"/>
        <v>0</v>
      </c>
      <c r="M54" t="str">
        <f t="shared" si="24"/>
        <v>0</v>
      </c>
      <c r="N54" t="str">
        <f t="shared" si="24"/>
        <v>1</v>
      </c>
      <c r="O54" t="str">
        <f t="shared" si="24"/>
        <v>1</v>
      </c>
      <c r="P54" t="str">
        <f t="shared" si="24"/>
        <v>.</v>
      </c>
      <c r="Q54" t="str">
        <f t="shared" si="24"/>
        <v>1</v>
      </c>
      <c r="R54" t="str">
        <f t="shared" si="24"/>
        <v>1</v>
      </c>
      <c r="S54" t="str">
        <f t="shared" si="24"/>
        <v>0</v>
      </c>
      <c r="T54" t="str">
        <f t="shared" si="24"/>
        <v>0</v>
      </c>
      <c r="U54" t="str">
        <f t="shared" si="24"/>
        <v>.</v>
      </c>
      <c r="V54" t="str">
        <f t="shared" si="24"/>
        <v>1</v>
      </c>
      <c r="W54" t="str">
        <f t="shared" si="24"/>
        <v>1</v>
      </c>
      <c r="X54" t="str">
        <f t="shared" si="24"/>
        <v>1</v>
      </c>
      <c r="Y54" t="str">
        <f t="shared" si="24"/>
        <v>0</v>
      </c>
      <c r="AC54" t="s">
        <v>78</v>
      </c>
      <c r="AD54">
        <f>C11</f>
        <v>-15410</v>
      </c>
    </row>
    <row r="55" spans="4:32" x14ac:dyDescent="0.35">
      <c r="D55" s="7" t="s">
        <v>48</v>
      </c>
      <c r="E55" t="s">
        <v>82</v>
      </c>
      <c r="G55" t="str">
        <f>G12</f>
        <v>1</v>
      </c>
      <c r="H55" t="str">
        <f t="shared" ref="H55:Y55" si="25">H12</f>
        <v>0</v>
      </c>
      <c r="I55" t="str">
        <f t="shared" si="25"/>
        <v>1</v>
      </c>
      <c r="J55" t="str">
        <f t="shared" si="25"/>
        <v>1</v>
      </c>
      <c r="K55" t="str">
        <f t="shared" si="25"/>
        <v>.</v>
      </c>
      <c r="L55" t="str">
        <f t="shared" si="25"/>
        <v>0</v>
      </c>
      <c r="M55" t="str">
        <f t="shared" si="25"/>
        <v>1</v>
      </c>
      <c r="N55" t="str">
        <f t="shared" si="25"/>
        <v>0</v>
      </c>
      <c r="O55" t="str">
        <f t="shared" si="25"/>
        <v>0</v>
      </c>
      <c r="P55" t="str">
        <f t="shared" si="25"/>
        <v>.</v>
      </c>
      <c r="Q55" t="str">
        <f t="shared" si="25"/>
        <v>0</v>
      </c>
      <c r="R55" t="str">
        <f t="shared" si="25"/>
        <v>1</v>
      </c>
      <c r="S55" t="str">
        <f t="shared" si="25"/>
        <v>1</v>
      </c>
      <c r="T55" t="str">
        <f t="shared" si="25"/>
        <v>0</v>
      </c>
      <c r="U55" t="str">
        <f t="shared" si="25"/>
        <v>.</v>
      </c>
      <c r="V55" t="str">
        <f t="shared" si="25"/>
        <v>0</v>
      </c>
      <c r="W55" t="str">
        <f t="shared" si="25"/>
        <v>1</v>
      </c>
      <c r="X55" t="str">
        <f t="shared" si="25"/>
        <v>1</v>
      </c>
      <c r="Y55" t="str">
        <f t="shared" si="25"/>
        <v>1</v>
      </c>
      <c r="AB55" s="7" t="s">
        <v>48</v>
      </c>
      <c r="AC55" t="s">
        <v>83</v>
      </c>
      <c r="AD55">
        <f>C12</f>
        <v>-19353</v>
      </c>
      <c r="AF55" t="s">
        <v>84</v>
      </c>
    </row>
    <row r="56" spans="4:32" x14ac:dyDescent="0.35">
      <c r="D56" s="3"/>
      <c r="E56" s="3"/>
      <c r="F56" s="3"/>
      <c r="G56" s="6">
        <f t="shared" ref="G56:X56" si="26">IF(G54=".",".",IF(OR(G54+G55+G53=2,G53+G54+G55=0),0,1))</f>
        <v>0</v>
      </c>
      <c r="H56" s="6">
        <f t="shared" si="26"/>
        <v>1</v>
      </c>
      <c r="I56" s="6">
        <f t="shared" si="26"/>
        <v>1</v>
      </c>
      <c r="J56" s="6">
        <f t="shared" si="26"/>
        <v>1</v>
      </c>
      <c r="K56" s="6" t="str">
        <f t="shared" si="26"/>
        <v>.</v>
      </c>
      <c r="L56" s="6">
        <f t="shared" si="26"/>
        <v>1</v>
      </c>
      <c r="M56" s="6">
        <f t="shared" si="26"/>
        <v>0</v>
      </c>
      <c r="N56" s="6">
        <f t="shared" si="26"/>
        <v>0</v>
      </c>
      <c r="O56" s="6">
        <f t="shared" si="26"/>
        <v>0</v>
      </c>
      <c r="P56" s="6" t="str">
        <f t="shared" si="26"/>
        <v>.</v>
      </c>
      <c r="Q56" s="6">
        <f t="shared" si="26"/>
        <v>0</v>
      </c>
      <c r="R56" s="6">
        <f t="shared" si="26"/>
        <v>0</v>
      </c>
      <c r="S56" s="6">
        <f t="shared" si="26"/>
        <v>1</v>
      </c>
      <c r="T56" s="6">
        <f t="shared" si="26"/>
        <v>1</v>
      </c>
      <c r="U56" s="6" t="str">
        <f t="shared" si="26"/>
        <v>.</v>
      </c>
      <c r="V56" s="6">
        <f t="shared" si="26"/>
        <v>0</v>
      </c>
      <c r="W56" s="6">
        <f t="shared" si="26"/>
        <v>1</v>
      </c>
      <c r="X56" s="6">
        <f t="shared" si="26"/>
        <v>0</v>
      </c>
      <c r="Y56" s="6">
        <f>IF(Y54=".",".",IF(OR(Y54+Y55=2,Y54+Y55=0),0,1))</f>
        <v>1</v>
      </c>
      <c r="Z56" s="7" t="s">
        <v>52</v>
      </c>
      <c r="AA56">
        <f>IF(G56=0,_xlfn.DECIMAL(G56&amp;H56&amp;I56&amp;J56&amp;L56&amp;M56&amp;N56&amp;O56&amp;Q56&amp;R56&amp;S56&amp;T56&amp;V56&amp;W56&amp;X56&amp;Y56,2),0-_xlfn.DECIMAL(H57&amp;I57&amp;J57&amp;L57&amp;M57&amp;N57&amp;O57&amp;Q57&amp;R57&amp;S57&amp;T57&amp;V57&amp;W57&amp;X57&amp;Y57,2))</f>
        <v>30773</v>
      </c>
      <c r="AB56" s="3"/>
      <c r="AC56" s="3"/>
      <c r="AD56" s="3">
        <f>AD54+AD55</f>
        <v>-34763</v>
      </c>
    </row>
    <row r="57" spans="4:32" x14ac:dyDescent="0.35">
      <c r="E57" t="s">
        <v>63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7"/>
    </row>
    <row r="59" spans="4:32" x14ac:dyDescent="0.35">
      <c r="G59" t="s">
        <v>75</v>
      </c>
      <c r="J59" t="s">
        <v>70</v>
      </c>
      <c r="M59" s="10" t="s">
        <v>79</v>
      </c>
      <c r="P59" t="s">
        <v>60</v>
      </c>
      <c r="S59" t="s">
        <v>57</v>
      </c>
      <c r="V59" t="s">
        <v>72</v>
      </c>
    </row>
    <row r="62" spans="4:32" x14ac:dyDescent="0.35">
      <c r="G62" s="5">
        <f t="shared" ref="G62:O62" si="27">IF(H63=".",H62,IF(OR(H63+H64+H62=2,H62+H63+H64=3),1,0))</f>
        <v>0</v>
      </c>
      <c r="H62" s="5">
        <f t="shared" si="27"/>
        <v>0</v>
      </c>
      <c r="I62" s="5">
        <f t="shared" si="27"/>
        <v>0</v>
      </c>
      <c r="J62" s="5">
        <f t="shared" si="27"/>
        <v>1</v>
      </c>
      <c r="K62" s="5">
        <f t="shared" si="27"/>
        <v>1</v>
      </c>
      <c r="L62" s="5">
        <f t="shared" si="27"/>
        <v>1</v>
      </c>
      <c r="M62" s="5">
        <f t="shared" si="27"/>
        <v>1</v>
      </c>
      <c r="N62" s="5">
        <f t="shared" si="27"/>
        <v>1</v>
      </c>
      <c r="O62" s="5">
        <f t="shared" si="27"/>
        <v>1</v>
      </c>
      <c r="P62" s="8">
        <f>IF(Q63=".",Q62,IF(OR(Q63+Q64+Q62=2,Q62+Q63+Q64=3),1,0))</f>
        <v>1</v>
      </c>
      <c r="Q62" s="5">
        <f t="shared" ref="Q62:W62" si="28">IF(R63=".",R62,IF(OR(R63+R64+R62=2,R62+R63+R64=3),1,0))</f>
        <v>1</v>
      </c>
      <c r="R62" s="5">
        <f t="shared" si="28"/>
        <v>0</v>
      </c>
      <c r="S62" s="5">
        <f t="shared" si="28"/>
        <v>0</v>
      </c>
      <c r="T62" s="5">
        <f t="shared" si="28"/>
        <v>1</v>
      </c>
      <c r="U62" s="9">
        <f t="shared" si="28"/>
        <v>1</v>
      </c>
      <c r="V62" s="5">
        <f t="shared" si="28"/>
        <v>1</v>
      </c>
      <c r="W62" s="5">
        <f t="shared" si="28"/>
        <v>1</v>
      </c>
      <c r="X62" s="5">
        <f>IF(Y63=".",Y62,IF(OR(Y63+Y64+Y62=2,Y62+Y63+Y64=3),1,0))</f>
        <v>0</v>
      </c>
      <c r="Y62" s="5">
        <v>0</v>
      </c>
    </row>
    <row r="63" spans="4:32" x14ac:dyDescent="0.35">
      <c r="E63" t="s">
        <v>50</v>
      </c>
      <c r="G63" t="str">
        <f>G4</f>
        <v>0</v>
      </c>
      <c r="H63" t="str">
        <f t="shared" ref="H63:Y63" si="29">H4</f>
        <v>0</v>
      </c>
      <c r="I63" t="str">
        <f t="shared" si="29"/>
        <v>0</v>
      </c>
      <c r="J63" t="str">
        <f t="shared" si="29"/>
        <v>0</v>
      </c>
      <c r="K63" t="str">
        <f t="shared" si="29"/>
        <v>.</v>
      </c>
      <c r="L63" t="str">
        <f t="shared" si="29"/>
        <v>1</v>
      </c>
      <c r="M63" t="str">
        <f t="shared" si="29"/>
        <v>1</v>
      </c>
      <c r="N63" t="str">
        <f t="shared" si="29"/>
        <v>1</v>
      </c>
      <c r="O63" t="str">
        <f t="shared" si="29"/>
        <v>1</v>
      </c>
      <c r="P63" t="str">
        <f t="shared" si="29"/>
        <v>.</v>
      </c>
      <c r="Q63" t="str">
        <f t="shared" si="29"/>
        <v>0</v>
      </c>
      <c r="R63" t="str">
        <f t="shared" si="29"/>
        <v>1</v>
      </c>
      <c r="S63" t="str">
        <f t="shared" si="29"/>
        <v>1</v>
      </c>
      <c r="T63" t="str">
        <f t="shared" si="29"/>
        <v>0</v>
      </c>
      <c r="U63" t="str">
        <f t="shared" si="29"/>
        <v>.</v>
      </c>
      <c r="V63" t="str">
        <f t="shared" si="29"/>
        <v>0</v>
      </c>
      <c r="W63" t="str">
        <f t="shared" si="29"/>
        <v>1</v>
      </c>
      <c r="X63" t="str">
        <f t="shared" si="29"/>
        <v>1</v>
      </c>
      <c r="Y63" t="str">
        <f t="shared" si="29"/>
        <v>1</v>
      </c>
      <c r="AC63" t="s">
        <v>54</v>
      </c>
      <c r="AD63">
        <f>C4</f>
        <v>3943</v>
      </c>
    </row>
    <row r="64" spans="4:32" x14ac:dyDescent="0.35">
      <c r="D64" s="7" t="s">
        <v>48</v>
      </c>
      <c r="E64" t="s">
        <v>77</v>
      </c>
      <c r="G64" t="str">
        <f>G11</f>
        <v>1</v>
      </c>
      <c r="H64" t="str">
        <f t="shared" ref="H64:Y64" si="30">H11</f>
        <v>1</v>
      </c>
      <c r="I64" t="str">
        <f t="shared" si="30"/>
        <v>0</v>
      </c>
      <c r="J64" t="str">
        <f t="shared" si="30"/>
        <v>0</v>
      </c>
      <c r="K64" t="str">
        <f t="shared" si="30"/>
        <v>.</v>
      </c>
      <c r="L64" t="str">
        <f t="shared" si="30"/>
        <v>0</v>
      </c>
      <c r="M64" t="str">
        <f t="shared" si="30"/>
        <v>0</v>
      </c>
      <c r="N64" t="str">
        <f t="shared" si="30"/>
        <v>1</v>
      </c>
      <c r="O64" t="str">
        <f t="shared" si="30"/>
        <v>1</v>
      </c>
      <c r="P64" t="str">
        <f t="shared" si="30"/>
        <v>.</v>
      </c>
      <c r="Q64" t="str">
        <f t="shared" si="30"/>
        <v>1</v>
      </c>
      <c r="R64" t="str">
        <f t="shared" si="30"/>
        <v>1</v>
      </c>
      <c r="S64" t="str">
        <f t="shared" si="30"/>
        <v>0</v>
      </c>
      <c r="T64" t="str">
        <f t="shared" si="30"/>
        <v>0</v>
      </c>
      <c r="U64" t="str">
        <f t="shared" si="30"/>
        <v>.</v>
      </c>
      <c r="V64" t="str">
        <f t="shared" si="30"/>
        <v>1</v>
      </c>
      <c r="W64" t="str">
        <f t="shared" si="30"/>
        <v>1</v>
      </c>
      <c r="X64" t="str">
        <f t="shared" si="30"/>
        <v>1</v>
      </c>
      <c r="Y64" t="str">
        <f t="shared" si="30"/>
        <v>0</v>
      </c>
      <c r="AB64" s="7" t="s">
        <v>48</v>
      </c>
      <c r="AC64" t="s">
        <v>78</v>
      </c>
      <c r="AD64">
        <f>C11</f>
        <v>-15410</v>
      </c>
      <c r="AF64" t="s">
        <v>81</v>
      </c>
    </row>
    <row r="65" spans="4:32" x14ac:dyDescent="0.35">
      <c r="D65" s="3"/>
      <c r="E65" s="3"/>
      <c r="F65" s="3"/>
      <c r="G65" s="6">
        <f t="shared" ref="G65:X65" si="31">IF(G63=".",".",IF(OR(G63+G64+G62=2,G62+G63+G64=0),0,1))</f>
        <v>1</v>
      </c>
      <c r="H65" s="6">
        <f t="shared" si="31"/>
        <v>1</v>
      </c>
      <c r="I65" s="6">
        <f t="shared" si="31"/>
        <v>0</v>
      </c>
      <c r="J65" s="6">
        <f t="shared" si="31"/>
        <v>1</v>
      </c>
      <c r="K65" s="6" t="str">
        <f t="shared" si="31"/>
        <v>.</v>
      </c>
      <c r="L65" s="6">
        <f t="shared" si="31"/>
        <v>0</v>
      </c>
      <c r="M65" s="6">
        <f t="shared" si="31"/>
        <v>0</v>
      </c>
      <c r="N65" s="6">
        <f t="shared" si="31"/>
        <v>1</v>
      </c>
      <c r="O65" s="6">
        <f t="shared" si="31"/>
        <v>1</v>
      </c>
      <c r="P65" s="6" t="str">
        <f t="shared" si="31"/>
        <v>.</v>
      </c>
      <c r="Q65" s="6">
        <f t="shared" si="31"/>
        <v>0</v>
      </c>
      <c r="R65" s="6">
        <f t="shared" si="31"/>
        <v>0</v>
      </c>
      <c r="S65" s="6">
        <f t="shared" si="31"/>
        <v>1</v>
      </c>
      <c r="T65" s="6">
        <f t="shared" si="31"/>
        <v>1</v>
      </c>
      <c r="U65" s="6" t="str">
        <f t="shared" si="31"/>
        <v>.</v>
      </c>
      <c r="V65" s="6">
        <f t="shared" si="31"/>
        <v>0</v>
      </c>
      <c r="W65" s="6">
        <f t="shared" si="31"/>
        <v>1</v>
      </c>
      <c r="X65" s="6">
        <f t="shared" si="31"/>
        <v>0</v>
      </c>
      <c r="Y65" s="6">
        <f>IF(Y63=".",".",IF(OR(Y63+Y64=2,Y63+Y64=0),0,1))</f>
        <v>1</v>
      </c>
      <c r="Z65" s="7" t="s">
        <v>52</v>
      </c>
      <c r="AA65">
        <f>IF(G65=0,_xlfn.DECIMAL(G65&amp;H65&amp;I65&amp;J65&amp;L65&amp;M65&amp;N65&amp;O65&amp;Q65&amp;R65&amp;S65&amp;T65&amp;V65&amp;W65&amp;X65&amp;Y65,2),0-_xlfn.DECIMAL(H66&amp;I66&amp;J66&amp;L66&amp;M66&amp;N66&amp;O66&amp;Q66&amp;R66&amp;S66&amp;T66&amp;V66&amp;W66&amp;X66&amp;Y66,2))</f>
        <v>-11467</v>
      </c>
      <c r="AB65" s="3"/>
      <c r="AC65" s="3"/>
      <c r="AD65" s="3">
        <f>AD63+AD64</f>
        <v>-11467</v>
      </c>
    </row>
    <row r="66" spans="4:32" x14ac:dyDescent="0.35">
      <c r="E66" t="s">
        <v>63</v>
      </c>
      <c r="G66" s="4">
        <f>IF(G65=0,0,1)</f>
        <v>1</v>
      </c>
      <c r="H66" s="4">
        <f t="shared" ref="H66:X66" si="32">IF(H65=".",".",IF(H65=1,0,1))</f>
        <v>0</v>
      </c>
      <c r="I66" s="4">
        <f t="shared" si="32"/>
        <v>1</v>
      </c>
      <c r="J66" s="4">
        <f t="shared" si="32"/>
        <v>0</v>
      </c>
      <c r="K66" s="4" t="str">
        <f t="shared" si="32"/>
        <v>.</v>
      </c>
      <c r="L66" s="4">
        <f t="shared" si="32"/>
        <v>1</v>
      </c>
      <c r="M66" s="4">
        <f t="shared" si="32"/>
        <v>1</v>
      </c>
      <c r="N66" s="4">
        <f t="shared" si="32"/>
        <v>0</v>
      </c>
      <c r="O66" s="4">
        <f t="shared" si="32"/>
        <v>0</v>
      </c>
      <c r="P66" s="4" t="str">
        <f t="shared" si="32"/>
        <v>.</v>
      </c>
      <c r="Q66" s="4">
        <f t="shared" si="32"/>
        <v>1</v>
      </c>
      <c r="R66" s="4">
        <f t="shared" si="32"/>
        <v>1</v>
      </c>
      <c r="S66" s="4">
        <f t="shared" si="32"/>
        <v>0</v>
      </c>
      <c r="T66" s="4">
        <f t="shared" si="32"/>
        <v>0</v>
      </c>
      <c r="U66" s="4" t="str">
        <f t="shared" si="32"/>
        <v>.</v>
      </c>
      <c r="V66" s="4">
        <f t="shared" si="32"/>
        <v>1</v>
      </c>
      <c r="W66" s="4">
        <f t="shared" si="32"/>
        <v>0</v>
      </c>
      <c r="X66" s="4">
        <f t="shared" si="32"/>
        <v>1</v>
      </c>
      <c r="Y66" s="4">
        <f>1</f>
        <v>1</v>
      </c>
      <c r="Z66" s="7"/>
    </row>
    <row r="68" spans="4:32" x14ac:dyDescent="0.35">
      <c r="G68" t="s">
        <v>56</v>
      </c>
      <c r="J68" t="s">
        <v>70</v>
      </c>
      <c r="M68" s="10" t="s">
        <v>79</v>
      </c>
      <c r="P68" t="s">
        <v>60</v>
      </c>
      <c r="S68" t="s">
        <v>80</v>
      </c>
      <c r="V68" t="s">
        <v>61</v>
      </c>
    </row>
    <row r="71" spans="4:32" x14ac:dyDescent="0.35">
      <c r="G71" s="5">
        <f t="shared" ref="G71:O71" si="33">IF(H72=".",H71,IF(OR(H72+H73+H71=2,H71+H72+H73=3),1,0))</f>
        <v>1</v>
      </c>
      <c r="H71" s="5">
        <f t="shared" si="33"/>
        <v>0</v>
      </c>
      <c r="I71" s="5">
        <f t="shared" si="33"/>
        <v>0</v>
      </c>
      <c r="J71" s="5">
        <f t="shared" si="33"/>
        <v>0</v>
      </c>
      <c r="K71" s="5">
        <f t="shared" si="33"/>
        <v>0</v>
      </c>
      <c r="L71" s="5">
        <f t="shared" si="33"/>
        <v>0</v>
      </c>
      <c r="M71" s="5">
        <f t="shared" si="33"/>
        <v>1</v>
      </c>
      <c r="N71" s="5">
        <f t="shared" si="33"/>
        <v>1</v>
      </c>
      <c r="O71" s="5">
        <f t="shared" si="33"/>
        <v>0</v>
      </c>
      <c r="P71" s="8">
        <f>IF(Q72=".",Q71,IF(OR(Q72+Q73+Q71=2,Q71+Q72+Q73=3),1,0))</f>
        <v>0</v>
      </c>
      <c r="Q71" s="5">
        <f t="shared" ref="Q71:W71" si="34">IF(R72=".",R71,IF(OR(R72+R73+R71=2,R71+R72+R73=3),1,0))</f>
        <v>0</v>
      </c>
      <c r="R71" s="5">
        <f t="shared" si="34"/>
        <v>1</v>
      </c>
      <c r="S71" s="5">
        <f t="shared" si="34"/>
        <v>1</v>
      </c>
      <c r="T71" s="5">
        <f t="shared" si="34"/>
        <v>0</v>
      </c>
      <c r="U71" s="9">
        <f t="shared" si="34"/>
        <v>0</v>
      </c>
      <c r="V71" s="5">
        <f t="shared" si="34"/>
        <v>0</v>
      </c>
      <c r="W71" s="5">
        <f t="shared" si="34"/>
        <v>0</v>
      </c>
      <c r="X71" s="5">
        <f>IF(Y72=".",Y71,IF(OR(Y72+Y73+Y71=2,Y71+Y72+Y73=3),1,0))</f>
        <v>1</v>
      </c>
      <c r="Y71" s="5">
        <v>0</v>
      </c>
    </row>
    <row r="72" spans="4:32" x14ac:dyDescent="0.35">
      <c r="E72" t="s">
        <v>85</v>
      </c>
      <c r="G72" t="str">
        <f>G14</f>
        <v>1</v>
      </c>
      <c r="H72" t="str">
        <f t="shared" ref="H72:Y72" si="35">H14</f>
        <v>1</v>
      </c>
      <c r="I72" t="str">
        <f t="shared" si="35"/>
        <v>0</v>
      </c>
      <c r="J72" t="str">
        <f t="shared" si="35"/>
        <v>1</v>
      </c>
      <c r="K72" t="str">
        <f t="shared" si="35"/>
        <v>.</v>
      </c>
      <c r="L72" t="str">
        <f t="shared" si="35"/>
        <v>0</v>
      </c>
      <c r="M72" t="str">
        <f t="shared" si="35"/>
        <v>0</v>
      </c>
      <c r="N72" t="str">
        <f t="shared" si="35"/>
        <v>1</v>
      </c>
      <c r="O72" t="str">
        <f t="shared" si="35"/>
        <v>1</v>
      </c>
      <c r="P72" t="str">
        <f t="shared" si="35"/>
        <v>.</v>
      </c>
      <c r="Q72" t="str">
        <f t="shared" si="35"/>
        <v>0</v>
      </c>
      <c r="R72" t="str">
        <f t="shared" si="35"/>
        <v>0</v>
      </c>
      <c r="S72" t="str">
        <f t="shared" si="35"/>
        <v>1</v>
      </c>
      <c r="T72" t="str">
        <f t="shared" si="35"/>
        <v>1</v>
      </c>
      <c r="U72" t="str">
        <f t="shared" si="35"/>
        <v>.</v>
      </c>
      <c r="V72" t="str">
        <f t="shared" si="35"/>
        <v>0</v>
      </c>
      <c r="W72" t="str">
        <f t="shared" si="35"/>
        <v>1</v>
      </c>
      <c r="X72" t="str">
        <f t="shared" si="35"/>
        <v>0</v>
      </c>
      <c r="Y72" t="str">
        <f t="shared" si="35"/>
        <v>1</v>
      </c>
      <c r="AC72" t="s">
        <v>86</v>
      </c>
      <c r="AD72">
        <f>C14</f>
        <v>-11467</v>
      </c>
    </row>
    <row r="73" spans="4:32" x14ac:dyDescent="0.35">
      <c r="D73" s="7" t="s">
        <v>48</v>
      </c>
      <c r="E73" t="s">
        <v>62</v>
      </c>
      <c r="G73" t="str">
        <f>G6</f>
        <v>0</v>
      </c>
      <c r="H73" t="str">
        <f t="shared" ref="H73:Y73" si="36">H6</f>
        <v>1</v>
      </c>
      <c r="I73" t="str">
        <f t="shared" si="36"/>
        <v>0</v>
      </c>
      <c r="J73" t="str">
        <f t="shared" si="36"/>
        <v>0</v>
      </c>
      <c r="K73" t="str">
        <f t="shared" si="36"/>
        <v>.</v>
      </c>
      <c r="L73" t="str">
        <f t="shared" si="36"/>
        <v>1</v>
      </c>
      <c r="M73" t="str">
        <f t="shared" si="36"/>
        <v>0</v>
      </c>
      <c r="N73" t="str">
        <f t="shared" si="36"/>
        <v>1</v>
      </c>
      <c r="O73" t="str">
        <f t="shared" si="36"/>
        <v>1</v>
      </c>
      <c r="P73" t="str">
        <f t="shared" si="36"/>
        <v>.</v>
      </c>
      <c r="Q73" t="str">
        <f t="shared" si="36"/>
        <v>1</v>
      </c>
      <c r="R73" t="str">
        <f t="shared" si="36"/>
        <v>0</v>
      </c>
      <c r="S73" t="str">
        <f t="shared" si="36"/>
        <v>0</v>
      </c>
      <c r="T73" t="str">
        <f t="shared" si="36"/>
        <v>1</v>
      </c>
      <c r="U73" t="str">
        <f t="shared" si="36"/>
        <v>.</v>
      </c>
      <c r="V73" t="str">
        <f t="shared" si="36"/>
        <v>1</v>
      </c>
      <c r="W73" t="str">
        <f t="shared" si="36"/>
        <v>0</v>
      </c>
      <c r="X73" t="str">
        <f t="shared" si="36"/>
        <v>0</v>
      </c>
      <c r="Y73" t="str">
        <f t="shared" si="36"/>
        <v>1</v>
      </c>
      <c r="AB73" s="7" t="s">
        <v>48</v>
      </c>
      <c r="AC73" t="s">
        <v>64</v>
      </c>
      <c r="AD73">
        <f>C6</f>
        <v>19353</v>
      </c>
      <c r="AF73" t="s">
        <v>87</v>
      </c>
    </row>
    <row r="74" spans="4:32" x14ac:dyDescent="0.35">
      <c r="D74" s="3"/>
      <c r="E74" s="3"/>
      <c r="F74" s="3"/>
      <c r="G74" s="6">
        <f t="shared" ref="G74:X74" si="37">IF(G72=".",".",IF(OR(G72+G73+G71=2,G71+G72+G73=0),0,1))</f>
        <v>0</v>
      </c>
      <c r="H74" s="6">
        <f t="shared" si="37"/>
        <v>0</v>
      </c>
      <c r="I74" s="6">
        <f t="shared" si="37"/>
        <v>0</v>
      </c>
      <c r="J74" s="6">
        <f t="shared" si="37"/>
        <v>1</v>
      </c>
      <c r="K74" s="6" t="str">
        <f t="shared" si="37"/>
        <v>.</v>
      </c>
      <c r="L74" s="6">
        <f t="shared" si="37"/>
        <v>1</v>
      </c>
      <c r="M74" s="6">
        <f t="shared" si="37"/>
        <v>1</v>
      </c>
      <c r="N74" s="6">
        <f t="shared" si="37"/>
        <v>1</v>
      </c>
      <c r="O74" s="6">
        <f t="shared" si="37"/>
        <v>0</v>
      </c>
      <c r="P74" s="6" t="str">
        <f t="shared" si="37"/>
        <v>.</v>
      </c>
      <c r="Q74" s="6">
        <f t="shared" si="37"/>
        <v>1</v>
      </c>
      <c r="R74" s="6">
        <f t="shared" si="37"/>
        <v>1</v>
      </c>
      <c r="S74" s="6">
        <f t="shared" si="37"/>
        <v>0</v>
      </c>
      <c r="T74" s="6">
        <f t="shared" si="37"/>
        <v>0</v>
      </c>
      <c r="U74" s="6" t="str">
        <f t="shared" si="37"/>
        <v>.</v>
      </c>
      <c r="V74" s="6">
        <f t="shared" si="37"/>
        <v>1</v>
      </c>
      <c r="W74" s="6">
        <f t="shared" si="37"/>
        <v>1</v>
      </c>
      <c r="X74" s="6">
        <f t="shared" si="37"/>
        <v>1</v>
      </c>
      <c r="Y74" s="6">
        <f>IF(Y72=".",".",IF(OR(Y72+Y73=2,Y72+Y73=0),0,1))</f>
        <v>0</v>
      </c>
      <c r="Z74" s="7" t="s">
        <v>52</v>
      </c>
      <c r="AA74">
        <f>IF(G74=0,_xlfn.DECIMAL(G74&amp;H74&amp;I74&amp;J74&amp;L74&amp;M74&amp;N74&amp;O74&amp;Q74&amp;R74&amp;S74&amp;T74&amp;V74&amp;W74&amp;X74&amp;Y74,2),0-_xlfn.DECIMAL(H75&amp;I75&amp;J75&amp;L75&amp;M75&amp;N75&amp;O75&amp;Q75&amp;R75&amp;S75&amp;T75&amp;V75&amp;W75&amp;X75&amp;Y75,2))</f>
        <v>7886</v>
      </c>
      <c r="AB74" s="3"/>
      <c r="AC74" s="3"/>
      <c r="AD74" s="3">
        <f>AD72+AD73</f>
        <v>7886</v>
      </c>
    </row>
    <row r="75" spans="4:32" x14ac:dyDescent="0.35">
      <c r="E75" t="s">
        <v>63</v>
      </c>
      <c r="G75" s="4">
        <f>IF(G74=0,0,1)</f>
        <v>0</v>
      </c>
      <c r="H75" s="4">
        <f t="shared" ref="H75:X75" si="38">IF(H74=".",".",IF(H74=1,0,1))</f>
        <v>1</v>
      </c>
      <c r="I75" s="4">
        <f t="shared" si="38"/>
        <v>1</v>
      </c>
      <c r="J75" s="4">
        <f t="shared" si="38"/>
        <v>0</v>
      </c>
      <c r="K75" s="4" t="str">
        <f t="shared" si="38"/>
        <v>.</v>
      </c>
      <c r="L75" s="4">
        <f t="shared" si="38"/>
        <v>0</v>
      </c>
      <c r="M75" s="4">
        <f t="shared" si="38"/>
        <v>0</v>
      </c>
      <c r="N75" s="4">
        <f t="shared" si="38"/>
        <v>0</v>
      </c>
      <c r="O75" s="4">
        <f t="shared" si="38"/>
        <v>1</v>
      </c>
      <c r="P75" s="4" t="str">
        <f t="shared" si="38"/>
        <v>.</v>
      </c>
      <c r="Q75" s="4">
        <f t="shared" si="38"/>
        <v>0</v>
      </c>
      <c r="R75" s="4">
        <f t="shared" si="38"/>
        <v>0</v>
      </c>
      <c r="S75" s="4">
        <f t="shared" si="38"/>
        <v>1</v>
      </c>
      <c r="T75" s="4">
        <f t="shared" si="38"/>
        <v>1</v>
      </c>
      <c r="U75" s="4" t="str">
        <f t="shared" si="38"/>
        <v>.</v>
      </c>
      <c r="V75" s="4">
        <f t="shared" si="38"/>
        <v>0</v>
      </c>
      <c r="W75" s="4">
        <f t="shared" si="38"/>
        <v>0</v>
      </c>
      <c r="X75" s="4">
        <f t="shared" si="38"/>
        <v>0</v>
      </c>
      <c r="Y75" s="4">
        <f>1</f>
        <v>1</v>
      </c>
      <c r="Z75" s="7"/>
    </row>
    <row r="77" spans="4:32" x14ac:dyDescent="0.35">
      <c r="G77" t="s">
        <v>75</v>
      </c>
      <c r="J77" t="s">
        <v>70</v>
      </c>
      <c r="M77" s="10" t="s">
        <v>59</v>
      </c>
      <c r="N77" s="10"/>
      <c r="P77" t="s">
        <v>60</v>
      </c>
      <c r="S77" t="s">
        <v>57</v>
      </c>
      <c r="V77" t="s">
        <v>61</v>
      </c>
    </row>
  </sheetData>
  <mergeCells count="1">
    <mergeCell ref="G1:Y2"/>
  </mergeCells>
  <pageMargins left="0.7" right="0.7" top="0.75" bottom="0.75" header="0.3" footer="0.3"/>
  <pageSetup paperSize="9" orientation="portrait" r:id="rId1"/>
  <headerFooter>
    <oddHeader>Hazırlayan: Hamza Yüksel &amp;D&amp;RSayfa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D7BE-DF7A-47F5-9E12-E63572E110E7}">
  <dimension ref="A1"/>
  <sheetViews>
    <sheetView workbookViewId="0">
      <selection activeCell="C1" sqref="A1:XFD1048576"/>
    </sheetView>
  </sheetViews>
  <sheetFormatPr defaultRowHeight="14.5" x14ac:dyDescent="0.35"/>
  <cols>
    <col min="1" max="2" width="8.7265625" customWidth="1"/>
    <col min="4" max="4" width="8.72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Лист1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Yüksel</dc:creator>
  <cp:lastModifiedBy>Юксель Хамза</cp:lastModifiedBy>
  <dcterms:created xsi:type="dcterms:W3CDTF">2015-06-05T18:19:34Z</dcterms:created>
  <dcterms:modified xsi:type="dcterms:W3CDTF">2024-11-25T11:42:50Z</dcterms:modified>
</cp:coreProperties>
</file>